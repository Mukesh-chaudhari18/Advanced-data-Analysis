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 Computers\Downloads\"/>
    </mc:Choice>
  </mc:AlternateContent>
  <xr:revisionPtr revIDLastSave="0" documentId="8_{D8389F26-6928-46B7-B78E-D1F01113D4F1}" xr6:coauthVersionLast="47" xr6:coauthVersionMax="47" xr10:uidLastSave="{00000000-0000-0000-0000-000000000000}"/>
  <bookViews>
    <workbookView xWindow="-110" yWindow="-110" windowWidth="19420" windowHeight="10420" activeTab="5" xr2:uid="{347BF7E4-DE52-4F6F-BF2B-F22AE28D292A}"/>
  </bookViews>
  <sheets>
    <sheet name="Decision Tree" sheetId="1" r:id="rId1"/>
    <sheet name="Kicathon Problem" sheetId="6" r:id="rId2"/>
    <sheet name="If functions" sheetId="7" r:id="rId3"/>
    <sheet name="SUM if" sheetId="2" r:id="rId4"/>
    <sheet name="COUNTif" sheetId="3" r:id="rId5"/>
    <sheet name="LookUp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0" i="2" l="1"/>
  <c r="G3" i="7"/>
  <c r="G4" i="7"/>
  <c r="G5" i="7"/>
  <c r="G6" i="7"/>
  <c r="G7" i="7"/>
  <c r="G8" i="7"/>
  <c r="G9" i="7"/>
  <c r="G10" i="7"/>
  <c r="G2" i="7"/>
  <c r="F3" i="7"/>
  <c r="F4" i="7"/>
  <c r="F5" i="7"/>
  <c r="F6" i="7"/>
  <c r="F7" i="7"/>
  <c r="F8" i="7"/>
  <c r="F9" i="7"/>
  <c r="F10" i="7"/>
  <c r="F2" i="7"/>
  <c r="E10" i="7"/>
  <c r="E3" i="7"/>
  <c r="E4" i="7"/>
  <c r="E5" i="7"/>
  <c r="E6" i="7"/>
  <c r="E7" i="7"/>
  <c r="E8" i="7"/>
  <c r="E9" i="7"/>
  <c r="E2" i="7"/>
  <c r="V17" i="6"/>
  <c r="V16" i="6"/>
  <c r="V10" i="6"/>
  <c r="U10" i="6"/>
  <c r="U3" i="6"/>
  <c r="V3" i="6"/>
  <c r="R22" i="6"/>
  <c r="R21" i="6"/>
  <c r="R17" i="6"/>
  <c r="R16" i="6"/>
  <c r="R10" i="6"/>
  <c r="R9" i="6"/>
  <c r="R5" i="6"/>
  <c r="R4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1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2" i="6"/>
  <c r="H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1" i="6"/>
  <c r="C11" i="1"/>
  <c r="N7" i="1" l="1"/>
  <c r="U14" i="1"/>
  <c r="U13" i="1"/>
  <c r="S14" i="1"/>
  <c r="T13" i="1"/>
  <c r="S13" i="1"/>
  <c r="T14" i="1"/>
  <c r="N19" i="1"/>
  <c r="N18" i="1"/>
  <c r="N14" i="1"/>
  <c r="N13" i="1"/>
  <c r="N6" i="1"/>
  <c r="N2" i="1"/>
  <c r="N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1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</calcChain>
</file>

<file path=xl/sharedStrings.xml><?xml version="1.0" encoding="utf-8"?>
<sst xmlns="http://schemas.openxmlformats.org/spreadsheetml/2006/main" count="274" uniqueCount="107">
  <si>
    <t>Supplier Capacity</t>
  </si>
  <si>
    <t>USA</t>
  </si>
  <si>
    <t>CHINA</t>
  </si>
  <si>
    <t>Fixed contract Charges</t>
  </si>
  <si>
    <t>Unit Product Cost</t>
  </si>
  <si>
    <t>Profit Per Unit</t>
  </si>
  <si>
    <t>Strong Demand (12000 - 17000)</t>
  </si>
  <si>
    <t>Demand</t>
  </si>
  <si>
    <t>Weak Deman (3000 - 8000)</t>
  </si>
  <si>
    <t>Profit for USA = 50 * min(Demand, Supplier Capacity)</t>
  </si>
  <si>
    <t>Profit for China = 70 * min(Demand , Supplier Capacity) -Fixed contract charge</t>
  </si>
  <si>
    <t>SD</t>
  </si>
  <si>
    <t>WD</t>
  </si>
  <si>
    <t>MEAN</t>
  </si>
  <si>
    <t>STD</t>
  </si>
  <si>
    <t xml:space="preserve">Suplier </t>
  </si>
  <si>
    <t>Max - Mini Stattergy</t>
  </si>
  <si>
    <t>Contract will be given tp USA</t>
  </si>
  <si>
    <t>Max- Max Stratergy</t>
  </si>
  <si>
    <t>HINA</t>
  </si>
  <si>
    <t>Contract will be given to CHINA</t>
  </si>
  <si>
    <t>Maximize the expected</t>
  </si>
  <si>
    <t>SD -50%</t>
  </si>
  <si>
    <t>WD-50%</t>
  </si>
  <si>
    <t>Contract will be given to USA</t>
  </si>
  <si>
    <t xml:space="preserve">Mejority wins </t>
  </si>
  <si>
    <t>Average Profit</t>
  </si>
  <si>
    <t xml:space="preserve">Contract will be given to </t>
  </si>
  <si>
    <t>emp_id</t>
  </si>
  <si>
    <t>emp_name</t>
  </si>
  <si>
    <t>Dept</t>
  </si>
  <si>
    <t>Salary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</si>
  <si>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</si>
  <si>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</si>
  <si>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</si>
  <si>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</si>
  <si>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</si>
  <si>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</si>
  <si>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</si>
  <si>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</si>
  <si>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</si>
  <si>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</si>
  <si>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John</t>
  </si>
  <si>
    <t>Alice</t>
  </si>
  <si>
    <t>Riya</t>
  </si>
  <si>
    <t>Mia</t>
  </si>
  <si>
    <t>Rocky</t>
  </si>
  <si>
    <t>Joe</t>
  </si>
  <si>
    <t>Piya</t>
  </si>
  <si>
    <t>Archer</t>
  </si>
  <si>
    <t>Alex</t>
  </si>
  <si>
    <t>Josh</t>
  </si>
  <si>
    <t>Marketing</t>
  </si>
  <si>
    <t>Sales</t>
  </si>
  <si>
    <t>R &amp; D</t>
  </si>
  <si>
    <t>SUMIF: Apply Summation / Addition on the records which the condtion is satisfied</t>
  </si>
  <si>
    <t>Sum salry of employees working in marketing department</t>
  </si>
  <si>
    <t>Sum of Salary of employees who are working in Sales Deprt</t>
  </si>
  <si>
    <t>Sum of Salary of employees who are working in R &amp; D Deprt</t>
  </si>
  <si>
    <t>SUMIFS : Apply Addition of the record which satisfy all the conditions.</t>
  </si>
  <si>
    <t>Job Role</t>
  </si>
  <si>
    <t>M Manager</t>
  </si>
  <si>
    <t>Sales manager</t>
  </si>
  <si>
    <t>Junior Research analyst</t>
  </si>
  <si>
    <t>S Manager</t>
  </si>
  <si>
    <t>Developer</t>
  </si>
  <si>
    <t>deprt --&gt; sales, jobrole --&gt; sales manager, sum of salary</t>
  </si>
  <si>
    <t>Deprt --&gt; marketing, job role --&gt; M Manager, SUM of Salary</t>
  </si>
  <si>
    <t>COUNTIF: Coumts the number of records if the given condition is satisfied</t>
  </si>
  <si>
    <t>How many employees are working in Marketing Department.</t>
  </si>
  <si>
    <t>How many employees we have in R &amp; D</t>
  </si>
  <si>
    <t xml:space="preserve"> How many Senior Mnagers we have </t>
  </si>
  <si>
    <t>COUNTIFS : Counts the record if multiple conditions are satisfied</t>
  </si>
  <si>
    <t>count senior managers who are working in marketing department.</t>
  </si>
  <si>
    <t>Find number marketing managers who are working in department marketing.</t>
  </si>
  <si>
    <t>How many developers working in R &amp; D department</t>
  </si>
  <si>
    <t>VLOOKUP: Vertical Look Up -&gt; Search for a values vertically and uses Left to right approach.</t>
  </si>
  <si>
    <t>What is that salary of Piya</t>
  </si>
  <si>
    <t>In which department employee e107 is working.</t>
  </si>
  <si>
    <t>what is the job role of Rocky</t>
  </si>
  <si>
    <t>HLOOKUP: Horizontal Look Up -&gt; Search for a values horizontally and uses top to bottom approach.</t>
  </si>
  <si>
    <t>XLOOKUP:</t>
  </si>
  <si>
    <t>Weak Demand (3000 - 8000)</t>
  </si>
  <si>
    <t>Supplier</t>
  </si>
  <si>
    <t>China</t>
  </si>
  <si>
    <t>Mean</t>
  </si>
  <si>
    <t>Std</t>
  </si>
  <si>
    <t>std</t>
  </si>
  <si>
    <t>Maxi – Mini Strategy</t>
  </si>
  <si>
    <t>Maxi – Maxi Strategy</t>
  </si>
  <si>
    <t>Maximize Expected Value</t>
  </si>
  <si>
    <t>Age</t>
  </si>
  <si>
    <t>Nationality</t>
  </si>
  <si>
    <t>Yes</t>
  </si>
  <si>
    <t>No</t>
  </si>
  <si>
    <t>Voting Eligibilty</t>
  </si>
  <si>
    <t>And</t>
  </si>
  <si>
    <t>Or</t>
  </si>
  <si>
    <t>Sales &lt; 100 - low sales</t>
  </si>
  <si>
    <t>sales between - 100 - 300 - medium sales</t>
  </si>
  <si>
    <t>Sales between -300 -600- Optimum sales</t>
  </si>
  <si>
    <t>Sales &gt; 600 - High sales</t>
  </si>
  <si>
    <t>Cateogry</t>
  </si>
  <si>
    <t>R and D</t>
  </si>
  <si>
    <t>dept</t>
  </si>
  <si>
    <t>job role</t>
  </si>
  <si>
    <t>Sales Managers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</si>
</sst>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_ ;_-[$$-409]* \-#,##0\ ;_-[$$-409]* &quot;-&quot;??_ ;_-@_ "/>
    <numFmt numFmtId="165" formatCode="_-[$$-409]* #,##0.00_ ;_-[$$-409]* \-#,##0.00\ ;_-[$$-409]* &quot;-&quot;??_ ;_-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28">
    <xf numFmtId="0" fontId="0" fillId="0" borderId="0" xfId="0"/>
    <xf numFmtId="0" fontId="3" fillId="2" borderId="0" xfId="1"/>
    <xf numFmtId="0" fontId="1" fillId="3" borderId="0" xfId="2"/>
    <xf numFmtId="0" fontId="2" fillId="0" borderId="0" xfId="0" applyFont="1"/>
    <xf numFmtId="1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/>
    <xf numFmtId="9" fontId="0" fillId="0" borderId="0" xfId="0" applyNumberFormat="1"/>
    <xf numFmtId="164" fontId="0" fillId="0" borderId="0" xfId="0" applyNumberFormat="1"/>
    <xf numFmtId="0" fontId="3" fillId="2" borderId="8" xfId="1" applyBorder="1"/>
    <xf numFmtId="0" fontId="1" fillId="3" borderId="8" xfId="2" applyBorder="1"/>
    <xf numFmtId="0" fontId="0" fillId="0" borderId="0" xfId="0" applyAlignment="1">
      <alignment horizontal="center"/>
    </xf>
    <xf numFmtId="0" fontId="5" fillId="4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0" fillId="0" borderId="8" xfId="0" applyBorder="1"/>
    <xf numFmtId="164" fontId="0" fillId="0" borderId="8" xfId="0" applyNumberFormat="1" applyBorder="1"/>
    <xf numFmtId="0" fontId="0" fillId="6" borderId="0" xfId="0" applyFill="1"/>
    <xf numFmtId="165" fontId="0" fillId="0" borderId="0" xfId="0" applyNumberFormat="1"/>
    <xf numFmtId="165" fontId="0" fillId="6" borderId="0" xfId="0" applyNumberFormat="1" applyFill="1"/>
    <xf numFmtId="0" fontId="0" fillId="0" borderId="8" xfId="0" applyBorder="1" applyAlignment="1">
      <alignment horizontal="center"/>
    </xf>
    <xf numFmtId="0" fontId="3" fillId="2" borderId="0" xfId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3">
    <cellStyle name="40% - Accent1" xfId="2" builtinId="31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</xdr:row>
      <xdr:rowOff>66675</xdr:rowOff>
    </xdr:from>
    <xdr:to>
      <xdr:col>10</xdr:col>
      <xdr:colOff>28575</xdr:colOff>
      <xdr:row>7</xdr:row>
      <xdr:rowOff>142875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DFC78DDD-7889-C9E0-340D-77A8EB3B1315}"/>
            </a:ext>
          </a:extLst>
        </xdr:cNvPr>
        <xdr:cNvCxnSpPr/>
      </xdr:nvCxnSpPr>
      <xdr:spPr>
        <a:xfrm flipV="1">
          <a:off x="11144250" y="828675"/>
          <a:ext cx="485775" cy="647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152400</xdr:colOff>
      <xdr:row>10</xdr:row>
      <xdr:rowOff>19050</xdr:rowOff>
    </xdr:from>
    <xdr:to>
      <xdr:col>10</xdr:col>
      <xdr:colOff>114300</xdr:colOff>
      <xdr:row>14</xdr:row>
      <xdr:rowOff>161925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8923A660-E9DE-FF24-3AE0-1A71E732B3EA}"/>
            </a:ext>
          </a:extLst>
        </xdr:cNvPr>
        <xdr:cNvCxnSpPr/>
      </xdr:nvCxnSpPr>
      <xdr:spPr>
        <a:xfrm>
          <a:off x="11144250" y="1924050"/>
          <a:ext cx="571500" cy="9048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28575</xdr:colOff>
      <xdr:row>1</xdr:row>
      <xdr:rowOff>9525</xdr:rowOff>
    </xdr:from>
    <xdr:to>
      <xdr:col>12</xdr:col>
      <xdr:colOff>9525</xdr:colOff>
      <xdr:row>2</xdr:row>
      <xdr:rowOff>104775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CF0E3E4B-60EC-20CF-20B3-14ACEF8FFA27}"/>
            </a:ext>
          </a:extLst>
        </xdr:cNvPr>
        <xdr:cNvCxnSpPr/>
      </xdr:nvCxnSpPr>
      <xdr:spPr>
        <a:xfrm flipV="1">
          <a:off x="12239625" y="200025"/>
          <a:ext cx="590550" cy="285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66675</xdr:colOff>
      <xdr:row>3</xdr:row>
      <xdr:rowOff>142875</xdr:rowOff>
    </xdr:from>
    <xdr:to>
      <xdr:col>11</xdr:col>
      <xdr:colOff>552450</xdr:colOff>
      <xdr:row>6</xdr:row>
      <xdr:rowOff>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1716245A-0B12-AF67-3BF8-B99D2BEFC70F}"/>
            </a:ext>
          </a:extLst>
        </xdr:cNvPr>
        <xdr:cNvCxnSpPr/>
      </xdr:nvCxnSpPr>
      <xdr:spPr>
        <a:xfrm>
          <a:off x="12277725" y="714375"/>
          <a:ext cx="485775" cy="428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13</xdr:row>
      <xdr:rowOff>28575</xdr:rowOff>
    </xdr:from>
    <xdr:to>
      <xdr:col>11</xdr:col>
      <xdr:colOff>571500</xdr:colOff>
      <xdr:row>14</xdr:row>
      <xdr:rowOff>123825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DC9FE8CB-2756-1950-9538-0B178F17CD51}"/>
            </a:ext>
          </a:extLst>
        </xdr:cNvPr>
        <xdr:cNvCxnSpPr/>
      </xdr:nvCxnSpPr>
      <xdr:spPr>
        <a:xfrm flipV="1">
          <a:off x="12258675" y="2505075"/>
          <a:ext cx="523875" cy="285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28575</xdr:colOff>
      <xdr:row>15</xdr:row>
      <xdr:rowOff>123825</xdr:rowOff>
    </xdr:from>
    <xdr:to>
      <xdr:col>11</xdr:col>
      <xdr:colOff>581025</xdr:colOff>
      <xdr:row>17</xdr:row>
      <xdr:rowOff>171450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F4DF376A-1301-FCE7-0D3F-7C173306851C}"/>
            </a:ext>
          </a:extLst>
        </xdr:cNvPr>
        <xdr:cNvCxnSpPr/>
      </xdr:nvCxnSpPr>
      <xdr:spPr>
        <a:xfrm>
          <a:off x="12239625" y="2981325"/>
          <a:ext cx="552450" cy="428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76200</xdr:colOff>
      <xdr:row>0</xdr:row>
      <xdr:rowOff>142875</xdr:rowOff>
    </xdr:from>
    <xdr:to>
      <xdr:col>15</xdr:col>
      <xdr:colOff>180975</xdr:colOff>
      <xdr:row>6</xdr:row>
      <xdr:rowOff>0</xdr:rowOff>
    </xdr:to>
    <xdr:sp macro="" textlink="">
      <xdr:nvSpPr>
        <xdr:cNvPr id="30" name="Right Brace 29">
          <a:extLst>
            <a:ext uri="{FF2B5EF4-FFF2-40B4-BE49-F238E27FC236}">
              <a16:creationId xmlns:a16="http://schemas.microsoft.com/office/drawing/2014/main" id="{49A6A5AF-E01F-80DE-70F2-A1C02A131319}"/>
            </a:ext>
          </a:extLst>
        </xdr:cNvPr>
        <xdr:cNvSpPr/>
      </xdr:nvSpPr>
      <xdr:spPr>
        <a:xfrm>
          <a:off x="14116050" y="142875"/>
          <a:ext cx="714375" cy="104775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142875</xdr:colOff>
      <xdr:row>12</xdr:row>
      <xdr:rowOff>142875</xdr:rowOff>
    </xdr:from>
    <xdr:to>
      <xdr:col>14</xdr:col>
      <xdr:colOff>600075</xdr:colOff>
      <xdr:row>18</xdr:row>
      <xdr:rowOff>114300</xdr:rowOff>
    </xdr:to>
    <xdr:sp macro="" textlink="">
      <xdr:nvSpPr>
        <xdr:cNvPr id="31" name="Right Brace 30">
          <a:extLst>
            <a:ext uri="{FF2B5EF4-FFF2-40B4-BE49-F238E27FC236}">
              <a16:creationId xmlns:a16="http://schemas.microsoft.com/office/drawing/2014/main" id="{F4C6CCC7-D2F0-D753-8578-4128B8413B18}"/>
            </a:ext>
          </a:extLst>
        </xdr:cNvPr>
        <xdr:cNvSpPr/>
      </xdr:nvSpPr>
      <xdr:spPr>
        <a:xfrm>
          <a:off x="14182725" y="2514600"/>
          <a:ext cx="457200" cy="116205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577850</xdr:colOff>
      <xdr:row>6</xdr:row>
      <xdr:rowOff>158750</xdr:rowOff>
    </xdr:from>
    <xdr:to>
      <xdr:col>14</xdr:col>
      <xdr:colOff>12700</xdr:colOff>
      <xdr:row>12</xdr:row>
      <xdr:rowOff>31750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79D0D95A-C0A9-4613-8655-D76B1D6BBE38}"/>
            </a:ext>
          </a:extLst>
        </xdr:cNvPr>
        <xdr:cNvCxnSpPr/>
      </xdr:nvCxnSpPr>
      <xdr:spPr>
        <a:xfrm flipV="1">
          <a:off x="9963150" y="1263650"/>
          <a:ext cx="1263650" cy="97790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12</xdr:row>
      <xdr:rowOff>171450</xdr:rowOff>
    </xdr:from>
    <xdr:to>
      <xdr:col>13</xdr:col>
      <xdr:colOff>596900</xdr:colOff>
      <xdr:row>18</xdr:row>
      <xdr:rowOff>19050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1C2CA572-803A-497B-AFB9-85A473482D29}"/>
            </a:ext>
          </a:extLst>
        </xdr:cNvPr>
        <xdr:cNvCxnSpPr/>
      </xdr:nvCxnSpPr>
      <xdr:spPr>
        <a:xfrm>
          <a:off x="9994900" y="2381250"/>
          <a:ext cx="1206500" cy="95250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3</xdr:row>
      <xdr:rowOff>165100</xdr:rowOff>
    </xdr:from>
    <xdr:to>
      <xdr:col>16</xdr:col>
      <xdr:colOff>25400</xdr:colOff>
      <xdr:row>6</xdr:row>
      <xdr:rowOff>6350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9CABBC3A-611B-403E-9A4A-1E13331E0260}"/>
            </a:ext>
          </a:extLst>
        </xdr:cNvPr>
        <xdr:cNvCxnSpPr/>
      </xdr:nvCxnSpPr>
      <xdr:spPr>
        <a:xfrm flipV="1">
          <a:off x="11823700" y="717550"/>
          <a:ext cx="635000" cy="39370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590550</xdr:colOff>
      <xdr:row>6</xdr:row>
      <xdr:rowOff>152400</xdr:rowOff>
    </xdr:from>
    <xdr:to>
      <xdr:col>16</xdr:col>
      <xdr:colOff>0</xdr:colOff>
      <xdr:row>9</xdr:row>
      <xdr:rowOff>12700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2DC6D8C5-795F-422A-A17C-F7E2B280E2F5}"/>
            </a:ext>
          </a:extLst>
        </xdr:cNvPr>
        <xdr:cNvCxnSpPr/>
      </xdr:nvCxnSpPr>
      <xdr:spPr>
        <a:xfrm>
          <a:off x="11804650" y="1257300"/>
          <a:ext cx="628650" cy="41275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18</xdr:row>
      <xdr:rowOff>171450</xdr:rowOff>
    </xdr:from>
    <xdr:to>
      <xdr:col>16</xdr:col>
      <xdr:colOff>19050</xdr:colOff>
      <xdr:row>21</xdr:row>
      <xdr:rowOff>31750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2182C61A-D6B1-47C6-AD85-73EF86961FF9}"/>
            </a:ext>
          </a:extLst>
        </xdr:cNvPr>
        <xdr:cNvCxnSpPr/>
      </xdr:nvCxnSpPr>
      <xdr:spPr>
        <a:xfrm>
          <a:off x="11823700" y="3486150"/>
          <a:ext cx="628650" cy="41275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603250</xdr:colOff>
      <xdr:row>15</xdr:row>
      <xdr:rowOff>158750</xdr:rowOff>
    </xdr:from>
    <xdr:to>
      <xdr:col>16</xdr:col>
      <xdr:colOff>19050</xdr:colOff>
      <xdr:row>18</xdr:row>
      <xdr:rowOff>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3E0D7B9-403E-470F-9EC1-85C08E0F2077}"/>
            </a:ext>
          </a:extLst>
        </xdr:cNvPr>
        <xdr:cNvCxnSpPr/>
      </xdr:nvCxnSpPr>
      <xdr:spPr>
        <a:xfrm flipV="1">
          <a:off x="11817350" y="2921000"/>
          <a:ext cx="635000" cy="39370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25400</xdr:colOff>
      <xdr:row>3</xdr:row>
      <xdr:rowOff>50800</xdr:rowOff>
    </xdr:from>
    <xdr:to>
      <xdr:col>15</xdr:col>
      <xdr:colOff>387350</xdr:colOff>
      <xdr:row>4</xdr:row>
      <xdr:rowOff>127000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DB036D49-268D-5BBC-1D36-7E3E6263B7EB}"/>
            </a:ext>
          </a:extLst>
        </xdr:cNvPr>
        <xdr:cNvSpPr txBox="1"/>
      </xdr:nvSpPr>
      <xdr:spPr>
        <a:xfrm rot="19471374">
          <a:off x="11849100" y="603250"/>
          <a:ext cx="361950" cy="260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</a:t>
          </a:r>
        </a:p>
      </xdr:txBody>
    </xdr:sp>
    <xdr:clientData/>
  </xdr:twoCellAnchor>
  <xdr:twoCellAnchor>
    <xdr:from>
      <xdr:col>15</xdr:col>
      <xdr:colOff>26911</xdr:colOff>
      <xdr:row>8</xdr:row>
      <xdr:rowOff>62947</xdr:rowOff>
    </xdr:from>
    <xdr:to>
      <xdr:col>15</xdr:col>
      <xdr:colOff>442585</xdr:colOff>
      <xdr:row>9</xdr:row>
      <xdr:rowOff>139147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3BCF938A-A23A-427F-A7E0-4F18F3F9241F}"/>
            </a:ext>
          </a:extLst>
        </xdr:cNvPr>
        <xdr:cNvSpPr txBox="1"/>
      </xdr:nvSpPr>
      <xdr:spPr>
        <a:xfrm rot="2367631">
          <a:off x="11850611" y="1536147"/>
          <a:ext cx="415674" cy="260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WD</a:t>
          </a:r>
        </a:p>
      </xdr:txBody>
    </xdr:sp>
    <xdr:clientData/>
  </xdr:twoCellAnchor>
  <xdr:twoCellAnchor>
    <xdr:from>
      <xdr:col>14</xdr:col>
      <xdr:colOff>577849</xdr:colOff>
      <xdr:row>15</xdr:row>
      <xdr:rowOff>114301</xdr:rowOff>
    </xdr:from>
    <xdr:to>
      <xdr:col>15</xdr:col>
      <xdr:colOff>336549</xdr:colOff>
      <xdr:row>16</xdr:row>
      <xdr:rowOff>158751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529F2748-D344-69BB-97E7-EA6825D60769}"/>
            </a:ext>
          </a:extLst>
        </xdr:cNvPr>
        <xdr:cNvSpPr txBox="1"/>
      </xdr:nvSpPr>
      <xdr:spPr>
        <a:xfrm rot="19813167">
          <a:off x="11791949" y="2876551"/>
          <a:ext cx="368300" cy="22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</a:t>
          </a:r>
        </a:p>
      </xdr:txBody>
    </xdr:sp>
    <xdr:clientData/>
  </xdr:twoCellAnchor>
  <xdr:twoCellAnchor>
    <xdr:from>
      <xdr:col>14</xdr:col>
      <xdr:colOff>520789</xdr:colOff>
      <xdr:row>20</xdr:row>
      <xdr:rowOff>14508</xdr:rowOff>
    </xdr:from>
    <xdr:to>
      <xdr:col>15</xdr:col>
      <xdr:colOff>345241</xdr:colOff>
      <xdr:row>21</xdr:row>
      <xdr:rowOff>100317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33AC2247-5B3A-7065-4CB4-1146A60B9A83}"/>
            </a:ext>
          </a:extLst>
        </xdr:cNvPr>
        <xdr:cNvSpPr txBox="1"/>
      </xdr:nvSpPr>
      <xdr:spPr>
        <a:xfrm rot="2253497">
          <a:off x="11887289" y="3768064"/>
          <a:ext cx="431230" cy="2692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WD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E25F8-C89B-4827-A48C-7578C0565273}">
  <dimension ref="B1:U1010"/>
  <sheetViews>
    <sheetView topLeftCell="E1" zoomScale="70" zoomScaleNormal="70" workbookViewId="0">
      <selection activeCell="R6" sqref="R6:S9"/>
    </sheetView>
  </sheetViews>
  <sheetFormatPr defaultRowHeight="14.5" x14ac:dyDescent="0.35"/>
  <cols>
    <col min="2" max="2" width="23.81640625" customWidth="1"/>
    <col min="3" max="3" width="26.7265625" customWidth="1"/>
    <col min="4" max="4" width="23.54296875" customWidth="1"/>
    <col min="6" max="6" width="20.7265625" customWidth="1"/>
    <col min="7" max="7" width="20.81640625" customWidth="1"/>
    <col min="8" max="8" width="21.7265625" customWidth="1"/>
    <col min="18" max="18" width="22.26953125" customWidth="1"/>
    <col min="19" max="19" width="17.26953125" customWidth="1"/>
    <col min="20" max="20" width="20.26953125" customWidth="1"/>
    <col min="21" max="21" width="17.7265625" customWidth="1"/>
    <col min="22" max="22" width="14" customWidth="1"/>
    <col min="23" max="23" width="17.26953125" customWidth="1"/>
  </cols>
  <sheetData>
    <row r="1" spans="2:21" ht="15" thickBot="1" x14ac:dyDescent="0.4">
      <c r="F1" s="3" t="s">
        <v>9</v>
      </c>
      <c r="M1" s="7" t="s">
        <v>13</v>
      </c>
      <c r="N1">
        <f>AVERAGE(C11:C1010)</f>
        <v>300000</v>
      </c>
      <c r="R1" s="3" t="s">
        <v>16</v>
      </c>
    </row>
    <row r="2" spans="2:21" ht="15" thickBot="1" x14ac:dyDescent="0.4">
      <c r="B2" s="1"/>
      <c r="C2" s="1" t="s">
        <v>1</v>
      </c>
      <c r="D2" s="1" t="s">
        <v>2</v>
      </c>
      <c r="L2" t="s">
        <v>11</v>
      </c>
      <c r="M2" s="7" t="s">
        <v>14</v>
      </c>
      <c r="N2">
        <f>_xlfn.STDEV.S(C11:C1010)</f>
        <v>0</v>
      </c>
      <c r="R2" s="6">
        <v>300000</v>
      </c>
      <c r="S2" s="6">
        <v>-142593</v>
      </c>
    </row>
    <row r="3" spans="2:21" x14ac:dyDescent="0.35">
      <c r="B3" s="2" t="s">
        <v>0</v>
      </c>
      <c r="C3" s="2">
        <v>6000</v>
      </c>
      <c r="D3" s="2">
        <v>15000</v>
      </c>
      <c r="F3" s="3" t="s">
        <v>10</v>
      </c>
      <c r="K3" s="26" t="s">
        <v>1</v>
      </c>
      <c r="R3" t="s">
        <v>1</v>
      </c>
      <c r="S3" t="s">
        <v>2</v>
      </c>
    </row>
    <row r="4" spans="2:21" ht="15" thickBot="1" x14ac:dyDescent="0.4">
      <c r="B4" s="2" t="s">
        <v>3</v>
      </c>
      <c r="C4" s="2">
        <v>0</v>
      </c>
      <c r="D4" s="2">
        <v>500000</v>
      </c>
      <c r="K4" s="27"/>
      <c r="R4" s="3" t="s">
        <v>17</v>
      </c>
    </row>
    <row r="5" spans="2:21" ht="15" thickBot="1" x14ac:dyDescent="0.4">
      <c r="B5" s="2" t="s">
        <v>4</v>
      </c>
      <c r="C5" s="2">
        <v>150</v>
      </c>
      <c r="D5" s="2">
        <v>130</v>
      </c>
    </row>
    <row r="6" spans="2:21" ht="15" thickBot="1" x14ac:dyDescent="0.4">
      <c r="B6" s="2" t="s">
        <v>5</v>
      </c>
      <c r="C6" s="2">
        <v>50</v>
      </c>
      <c r="D6" s="2">
        <v>70</v>
      </c>
      <c r="L6" t="s">
        <v>12</v>
      </c>
      <c r="M6" s="7" t="s">
        <v>13</v>
      </c>
      <c r="N6" s="4">
        <f>AVERAGE(G11:G1010)</f>
        <v>255290.67964720598</v>
      </c>
      <c r="R6" t="s">
        <v>18</v>
      </c>
    </row>
    <row r="7" spans="2:21" ht="15" thickBot="1" x14ac:dyDescent="0.4">
      <c r="M7" s="7" t="s">
        <v>14</v>
      </c>
      <c r="N7">
        <f>_xlfn.STDEV.S(G11:G1010)</f>
        <v>49404.195221031085</v>
      </c>
      <c r="R7" s="6">
        <v>300000</v>
      </c>
      <c r="S7" s="6">
        <v>485369</v>
      </c>
    </row>
    <row r="8" spans="2:21" ht="15" thickBot="1" x14ac:dyDescent="0.4">
      <c r="R8" t="s">
        <v>1</v>
      </c>
      <c r="S8" t="s">
        <v>19</v>
      </c>
    </row>
    <row r="9" spans="2:21" x14ac:dyDescent="0.35">
      <c r="B9" s="21" t="s">
        <v>6</v>
      </c>
      <c r="C9" s="21"/>
      <c r="D9" s="21"/>
      <c r="F9" s="21" t="s">
        <v>8</v>
      </c>
      <c r="G9" s="21"/>
      <c r="H9" s="21"/>
      <c r="I9" s="22" t="s">
        <v>15</v>
      </c>
      <c r="J9" s="23"/>
      <c r="R9" s="3" t="s">
        <v>20</v>
      </c>
    </row>
    <row r="10" spans="2:21" ht="15" thickBot="1" x14ac:dyDescent="0.4">
      <c r="B10" s="1" t="s">
        <v>7</v>
      </c>
      <c r="C10" s="1" t="s">
        <v>1</v>
      </c>
      <c r="D10" s="1" t="s">
        <v>2</v>
      </c>
      <c r="F10" s="1" t="s">
        <v>7</v>
      </c>
      <c r="G10" s="1" t="s">
        <v>1</v>
      </c>
      <c r="H10" s="1" t="s">
        <v>2</v>
      </c>
      <c r="I10" s="24"/>
      <c r="J10" s="25"/>
    </row>
    <row r="11" spans="2:21" x14ac:dyDescent="0.35">
      <c r="B11" s="5">
        <v>14858.516190069276</v>
      </c>
      <c r="C11" s="6">
        <f>50*MIN(B11,6000)</f>
        <v>300000</v>
      </c>
      <c r="D11" s="5">
        <f>70*MIN(B11,15000)-500000</f>
        <v>540096.13330484938</v>
      </c>
      <c r="F11" s="4">
        <v>6637.8063295388656</v>
      </c>
      <c r="G11" s="4">
        <f>50*MIN(F11,6000)</f>
        <v>300000</v>
      </c>
      <c r="H11" s="4">
        <f>70*MIN(F11,6000)-500000</f>
        <v>-80000</v>
      </c>
      <c r="R11" t="s">
        <v>21</v>
      </c>
    </row>
    <row r="12" spans="2:21" ht="15" thickBot="1" x14ac:dyDescent="0.4">
      <c r="B12" s="5">
        <v>16372.692037720877</v>
      </c>
      <c r="C12" s="6">
        <f t="shared" ref="C12:C75" si="0">50*MIN(B12,6000)</f>
        <v>300000</v>
      </c>
      <c r="D12" s="5">
        <f t="shared" ref="D12:D75" si="1">70*MIN(B12,15000)-500000</f>
        <v>550000</v>
      </c>
      <c r="F12" s="4">
        <v>6871.7307046723836</v>
      </c>
      <c r="G12" s="4">
        <f t="shared" ref="G12:G75" si="2">50*MIN(F12,6000)</f>
        <v>300000</v>
      </c>
      <c r="H12" s="4">
        <f t="shared" ref="H12:H75" si="3">70*MIN(F12,6000)-500000</f>
        <v>-80000</v>
      </c>
      <c r="S12" s="8" t="s">
        <v>22</v>
      </c>
      <c r="T12" s="8" t="s">
        <v>23</v>
      </c>
      <c r="U12" t="s">
        <v>26</v>
      </c>
    </row>
    <row r="13" spans="2:21" ht="15" thickBot="1" x14ac:dyDescent="0.4">
      <c r="B13" s="5">
        <v>14268.593401898252</v>
      </c>
      <c r="C13" s="6">
        <f t="shared" si="0"/>
        <v>300000</v>
      </c>
      <c r="D13" s="5">
        <f t="shared" si="1"/>
        <v>498801.53813287755</v>
      </c>
      <c r="F13" s="4">
        <v>4649.2202520828887</v>
      </c>
      <c r="G13" s="4">
        <f t="shared" si="2"/>
        <v>232461.01260414443</v>
      </c>
      <c r="H13" s="4">
        <f t="shared" si="3"/>
        <v>-174554.5823541978</v>
      </c>
      <c r="M13" s="7" t="s">
        <v>13</v>
      </c>
      <c r="N13" s="4">
        <f>AVERAGE(D11:D1010)</f>
        <v>485368.78231147211</v>
      </c>
      <c r="R13" t="s">
        <v>1</v>
      </c>
      <c r="S13">
        <f>300000*0.5</f>
        <v>150000</v>
      </c>
      <c r="T13">
        <f>255291*0.5</f>
        <v>127645.5</v>
      </c>
      <c r="U13">
        <f>SUM(S13:T13)</f>
        <v>277645.5</v>
      </c>
    </row>
    <row r="14" spans="2:21" ht="15" thickBot="1" x14ac:dyDescent="0.4">
      <c r="B14" s="5">
        <v>15343.302713095492</v>
      </c>
      <c r="C14" s="6">
        <f t="shared" si="0"/>
        <v>300000</v>
      </c>
      <c r="D14" s="5">
        <f t="shared" si="1"/>
        <v>550000</v>
      </c>
      <c r="F14" s="4">
        <v>4402.0203253273112</v>
      </c>
      <c r="G14" s="4">
        <f t="shared" si="2"/>
        <v>220101.01626636556</v>
      </c>
      <c r="H14" s="4">
        <f t="shared" si="3"/>
        <v>-191858.57722708822</v>
      </c>
      <c r="L14" t="s">
        <v>11</v>
      </c>
      <c r="M14" s="7" t="s">
        <v>14</v>
      </c>
      <c r="N14">
        <f>_xlfn.STDEV.S(D11:D1010)</f>
        <v>67893.545529975221</v>
      </c>
      <c r="R14" t="s">
        <v>2</v>
      </c>
      <c r="S14">
        <f>485369*0.5</f>
        <v>242684.5</v>
      </c>
      <c r="T14">
        <f>-142593*0.5</f>
        <v>-71296.5</v>
      </c>
      <c r="U14">
        <f>SUM(S14:T14)</f>
        <v>171388</v>
      </c>
    </row>
    <row r="15" spans="2:21" x14ac:dyDescent="0.35">
      <c r="B15" s="5">
        <v>14098.147526474808</v>
      </c>
      <c r="C15" s="6">
        <f t="shared" si="0"/>
        <v>300000</v>
      </c>
      <c r="D15" s="5">
        <f t="shared" si="1"/>
        <v>486870.32685323653</v>
      </c>
      <c r="F15" s="4">
        <v>7817.9570909756767</v>
      </c>
      <c r="G15" s="4">
        <f t="shared" si="2"/>
        <v>300000</v>
      </c>
      <c r="H15" s="4">
        <f t="shared" si="3"/>
        <v>-80000</v>
      </c>
      <c r="K15" s="26" t="s">
        <v>2</v>
      </c>
    </row>
    <row r="16" spans="2:21" ht="15" thickBot="1" x14ac:dyDescent="0.4">
      <c r="B16" s="5">
        <v>15596.148564104129</v>
      </c>
      <c r="C16" s="6">
        <f t="shared" si="0"/>
        <v>300000</v>
      </c>
      <c r="D16" s="5">
        <f t="shared" si="1"/>
        <v>550000</v>
      </c>
      <c r="F16" s="4">
        <v>6253.7308877834403</v>
      </c>
      <c r="G16" s="4">
        <f t="shared" si="2"/>
        <v>300000</v>
      </c>
      <c r="H16" s="4">
        <f t="shared" si="3"/>
        <v>-80000</v>
      </c>
      <c r="K16" s="27"/>
      <c r="R16" t="s">
        <v>24</v>
      </c>
    </row>
    <row r="17" spans="2:18" ht="15" thickBot="1" x14ac:dyDescent="0.4">
      <c r="B17" s="5">
        <v>14218.237861262856</v>
      </c>
      <c r="C17" s="6">
        <f t="shared" si="0"/>
        <v>300000</v>
      </c>
      <c r="D17" s="5">
        <f t="shared" si="1"/>
        <v>495276.65028839989</v>
      </c>
      <c r="F17" s="4">
        <v>7276.8639179662468</v>
      </c>
      <c r="G17" s="4">
        <f t="shared" si="2"/>
        <v>300000</v>
      </c>
      <c r="H17" s="4">
        <f t="shared" si="3"/>
        <v>-80000</v>
      </c>
    </row>
    <row r="18" spans="2:18" ht="15" thickBot="1" x14ac:dyDescent="0.4">
      <c r="B18" s="5">
        <v>12291.451765495773</v>
      </c>
      <c r="C18" s="6">
        <f t="shared" si="0"/>
        <v>300000</v>
      </c>
      <c r="D18" s="5">
        <f t="shared" si="1"/>
        <v>360401.62358470412</v>
      </c>
      <c r="F18" s="4">
        <v>5574.6940519425034</v>
      </c>
      <c r="G18" s="4">
        <f t="shared" si="2"/>
        <v>278734.70259712514</v>
      </c>
      <c r="H18" s="4">
        <f t="shared" si="3"/>
        <v>-109771.41636402474</v>
      </c>
      <c r="L18" t="s">
        <v>12</v>
      </c>
      <c r="M18" s="7" t="s">
        <v>13</v>
      </c>
      <c r="N18" s="4">
        <f>AVERAGE(H11:H1010)</f>
        <v>-142593.04849391163</v>
      </c>
      <c r="R18" t="s">
        <v>25</v>
      </c>
    </row>
    <row r="19" spans="2:18" ht="15" thickBot="1" x14ac:dyDescent="0.4">
      <c r="B19" s="5">
        <v>13887.569811090427</v>
      </c>
      <c r="C19" s="6">
        <f t="shared" si="0"/>
        <v>300000</v>
      </c>
      <c r="D19" s="5">
        <f t="shared" si="1"/>
        <v>472129.88677632983</v>
      </c>
      <c r="F19" s="4">
        <v>3003.6622211371196</v>
      </c>
      <c r="G19" s="4">
        <f t="shared" si="2"/>
        <v>150183.11105685597</v>
      </c>
      <c r="H19" s="4">
        <f t="shared" si="3"/>
        <v>-289743.64452040161</v>
      </c>
      <c r="M19" s="7" t="s">
        <v>14</v>
      </c>
      <c r="N19">
        <f>_xlfn.STDEV.S(H11:H1010)</f>
        <v>69165.873309443035</v>
      </c>
      <c r="R19" t="s">
        <v>27</v>
      </c>
    </row>
    <row r="20" spans="2:18" x14ac:dyDescent="0.35">
      <c r="B20" s="5">
        <v>16249.54985198523</v>
      </c>
      <c r="C20" s="6">
        <f t="shared" si="0"/>
        <v>300000</v>
      </c>
      <c r="D20" s="5">
        <f t="shared" si="1"/>
        <v>550000</v>
      </c>
      <c r="F20" s="4">
        <v>6979.0032654805145</v>
      </c>
      <c r="G20" s="4">
        <f t="shared" si="2"/>
        <v>300000</v>
      </c>
      <c r="H20" s="4">
        <f t="shared" si="3"/>
        <v>-80000</v>
      </c>
      <c r="R20" t="s">
        <v>1</v>
      </c>
    </row>
    <row r="21" spans="2:18" x14ac:dyDescent="0.35">
      <c r="B21" s="5">
        <v>16421.826837977234</v>
      </c>
      <c r="C21" s="6">
        <f t="shared" si="0"/>
        <v>300000</v>
      </c>
      <c r="D21" s="5">
        <f t="shared" si="1"/>
        <v>550000</v>
      </c>
      <c r="F21" s="4">
        <v>4076.0826441236609</v>
      </c>
      <c r="G21" s="4">
        <f t="shared" si="2"/>
        <v>203804.13220618304</v>
      </c>
      <c r="H21" s="4">
        <f t="shared" si="3"/>
        <v>-214674.21491134376</v>
      </c>
    </row>
    <row r="22" spans="2:18" x14ac:dyDescent="0.35">
      <c r="B22" s="5">
        <v>15504.898220770898</v>
      </c>
      <c r="C22" s="6">
        <f t="shared" si="0"/>
        <v>300000</v>
      </c>
      <c r="D22" s="5">
        <f t="shared" si="1"/>
        <v>550000</v>
      </c>
      <c r="F22" s="4">
        <v>4785.7905819879761</v>
      </c>
      <c r="G22" s="4">
        <f t="shared" si="2"/>
        <v>239289.52909939882</v>
      </c>
      <c r="H22" s="4">
        <f t="shared" si="3"/>
        <v>-164994.65926084167</v>
      </c>
    </row>
    <row r="23" spans="2:18" x14ac:dyDescent="0.35">
      <c r="B23" s="5">
        <v>12832.087160863064</v>
      </c>
      <c r="C23" s="6">
        <f t="shared" si="0"/>
        <v>300000</v>
      </c>
      <c r="D23" s="5">
        <f t="shared" si="1"/>
        <v>398246.10126041446</v>
      </c>
      <c r="F23" s="4">
        <v>6943.601794488357</v>
      </c>
      <c r="G23" s="4">
        <f t="shared" si="2"/>
        <v>300000</v>
      </c>
      <c r="H23" s="4">
        <f t="shared" si="3"/>
        <v>-80000</v>
      </c>
    </row>
    <row r="24" spans="2:18" x14ac:dyDescent="0.35">
      <c r="B24" s="5">
        <v>14491.83629871517</v>
      </c>
      <c r="C24" s="6">
        <f t="shared" si="0"/>
        <v>300000</v>
      </c>
      <c r="D24" s="5">
        <f t="shared" si="1"/>
        <v>514428.54091006191</v>
      </c>
      <c r="F24" s="4">
        <v>4237.8307443464464</v>
      </c>
      <c r="G24" s="4">
        <f t="shared" si="2"/>
        <v>211891.53721732233</v>
      </c>
      <c r="H24" s="4">
        <f t="shared" si="3"/>
        <v>-203351.84789574874</v>
      </c>
    </row>
    <row r="25" spans="2:18" x14ac:dyDescent="0.35">
      <c r="B25" s="5">
        <v>13975.920896023439</v>
      </c>
      <c r="C25" s="6">
        <f t="shared" si="0"/>
        <v>300000</v>
      </c>
      <c r="D25" s="5">
        <f t="shared" si="1"/>
        <v>478314.46272164071</v>
      </c>
      <c r="F25" s="4">
        <v>3666.3716544083986</v>
      </c>
      <c r="G25" s="4">
        <f t="shared" si="2"/>
        <v>183318.58272041994</v>
      </c>
      <c r="H25" s="4">
        <f t="shared" si="3"/>
        <v>-243353.98419141211</v>
      </c>
    </row>
    <row r="26" spans="2:18" x14ac:dyDescent="0.35">
      <c r="B26" s="5">
        <v>13469.161046174504</v>
      </c>
      <c r="C26" s="6">
        <f t="shared" si="0"/>
        <v>300000</v>
      </c>
      <c r="D26" s="5">
        <f t="shared" si="1"/>
        <v>442841.27323221532</v>
      </c>
      <c r="F26" s="4">
        <v>6101.5961180455943</v>
      </c>
      <c r="G26" s="4">
        <f t="shared" si="2"/>
        <v>300000</v>
      </c>
      <c r="H26" s="4">
        <f t="shared" si="3"/>
        <v>-80000</v>
      </c>
    </row>
    <row r="27" spans="2:18" x14ac:dyDescent="0.35">
      <c r="B27" s="5">
        <v>14646.870326853237</v>
      </c>
      <c r="C27" s="6">
        <f t="shared" si="0"/>
        <v>300000</v>
      </c>
      <c r="D27" s="5">
        <f t="shared" si="1"/>
        <v>525280.92287972663</v>
      </c>
      <c r="F27" s="4">
        <v>5166.5089877010405</v>
      </c>
      <c r="G27" s="4">
        <f t="shared" si="2"/>
        <v>258325.44938505202</v>
      </c>
      <c r="H27" s="4">
        <f t="shared" si="3"/>
        <v>-138344.37086092716</v>
      </c>
    </row>
    <row r="28" spans="2:18" x14ac:dyDescent="0.35">
      <c r="B28" s="5">
        <v>14161.168248542741</v>
      </c>
      <c r="C28" s="6">
        <f t="shared" si="0"/>
        <v>300000</v>
      </c>
      <c r="D28" s="5">
        <f t="shared" si="1"/>
        <v>491281.77739799186</v>
      </c>
      <c r="F28" s="4">
        <v>5762.8406628620251</v>
      </c>
      <c r="G28" s="4">
        <f t="shared" si="2"/>
        <v>288142.03314310126</v>
      </c>
      <c r="H28" s="4">
        <f t="shared" si="3"/>
        <v>-96601.153599658224</v>
      </c>
    </row>
    <row r="29" spans="2:18" x14ac:dyDescent="0.35">
      <c r="B29" s="5">
        <v>12918.301950132756</v>
      </c>
      <c r="C29" s="6">
        <f t="shared" si="0"/>
        <v>300000</v>
      </c>
      <c r="D29" s="5">
        <f t="shared" si="1"/>
        <v>404281.13650929299</v>
      </c>
      <c r="F29" s="4">
        <v>7395.428327280496</v>
      </c>
      <c r="G29" s="4">
        <f t="shared" si="2"/>
        <v>300000</v>
      </c>
      <c r="H29" s="4">
        <f t="shared" si="3"/>
        <v>-80000</v>
      </c>
    </row>
    <row r="30" spans="2:18" x14ac:dyDescent="0.35">
      <c r="B30" s="5">
        <v>12917.844172490615</v>
      </c>
      <c r="C30" s="6">
        <f t="shared" si="0"/>
        <v>300000</v>
      </c>
      <c r="D30" s="5">
        <f t="shared" si="1"/>
        <v>404249.092074343</v>
      </c>
      <c r="F30" s="4">
        <v>4349.9862666707359</v>
      </c>
      <c r="G30" s="4">
        <f t="shared" si="2"/>
        <v>217499.31333353679</v>
      </c>
      <c r="H30" s="4">
        <f t="shared" si="3"/>
        <v>-195500.96133304847</v>
      </c>
    </row>
    <row r="31" spans="2:18" x14ac:dyDescent="0.35">
      <c r="B31" s="5">
        <v>12092.623676259651</v>
      </c>
      <c r="C31" s="6">
        <f t="shared" si="0"/>
        <v>300000</v>
      </c>
      <c r="D31" s="5">
        <f t="shared" si="1"/>
        <v>346483.65733817557</v>
      </c>
      <c r="F31" s="4">
        <v>4080.0500503555404</v>
      </c>
      <c r="G31" s="4">
        <f t="shared" si="2"/>
        <v>204002.50251777703</v>
      </c>
      <c r="H31" s="4">
        <f t="shared" si="3"/>
        <v>-214396.49647511216</v>
      </c>
    </row>
    <row r="32" spans="2:18" x14ac:dyDescent="0.35">
      <c r="B32" s="5">
        <v>15590.655232398451</v>
      </c>
      <c r="C32" s="6">
        <f t="shared" si="0"/>
        <v>300000</v>
      </c>
      <c r="D32" s="5">
        <f t="shared" si="1"/>
        <v>550000</v>
      </c>
      <c r="F32" s="4">
        <v>7157.3839533677174</v>
      </c>
      <c r="G32" s="4">
        <f t="shared" si="2"/>
        <v>300000</v>
      </c>
      <c r="H32" s="4">
        <f t="shared" si="3"/>
        <v>-80000</v>
      </c>
    </row>
    <row r="33" spans="2:8" x14ac:dyDescent="0.35">
      <c r="B33" s="5">
        <v>13902.676473281044</v>
      </c>
      <c r="C33" s="6">
        <f t="shared" si="0"/>
        <v>300000</v>
      </c>
      <c r="D33" s="5">
        <f t="shared" si="1"/>
        <v>473187.35312967305</v>
      </c>
      <c r="F33" s="4">
        <v>6472.0908230842006</v>
      </c>
      <c r="G33" s="4">
        <f t="shared" si="2"/>
        <v>300000</v>
      </c>
      <c r="H33" s="4">
        <f t="shared" si="3"/>
        <v>-80000</v>
      </c>
    </row>
    <row r="34" spans="2:8" x14ac:dyDescent="0.35">
      <c r="B34" s="5">
        <v>14430.951872310556</v>
      </c>
      <c r="C34" s="6">
        <f t="shared" si="0"/>
        <v>300000</v>
      </c>
      <c r="D34" s="5">
        <f t="shared" si="1"/>
        <v>510166.63106173894</v>
      </c>
      <c r="F34" s="4">
        <v>4342.0514542069759</v>
      </c>
      <c r="G34" s="4">
        <f t="shared" si="2"/>
        <v>217102.57271034879</v>
      </c>
      <c r="H34" s="4">
        <f t="shared" si="3"/>
        <v>-196056.39820551168</v>
      </c>
    </row>
    <row r="35" spans="2:8" x14ac:dyDescent="0.35">
      <c r="B35" s="5">
        <v>13304.971465193641</v>
      </c>
      <c r="C35" s="6">
        <f t="shared" si="0"/>
        <v>300000</v>
      </c>
      <c r="D35" s="5">
        <f t="shared" si="1"/>
        <v>431348.00256355491</v>
      </c>
      <c r="F35" s="4">
        <v>6430.7382427442244</v>
      </c>
      <c r="G35" s="4">
        <f t="shared" si="2"/>
        <v>300000</v>
      </c>
      <c r="H35" s="4">
        <f t="shared" si="3"/>
        <v>-80000</v>
      </c>
    </row>
    <row r="36" spans="2:8" x14ac:dyDescent="0.35">
      <c r="B36" s="5">
        <v>12246.742149113437</v>
      </c>
      <c r="C36" s="6">
        <f t="shared" si="0"/>
        <v>300000</v>
      </c>
      <c r="D36" s="5">
        <f t="shared" si="1"/>
        <v>357271.95043794066</v>
      </c>
      <c r="F36" s="4">
        <v>6142.1857356486707</v>
      </c>
      <c r="G36" s="4">
        <f t="shared" si="2"/>
        <v>300000</v>
      </c>
      <c r="H36" s="4">
        <f t="shared" si="3"/>
        <v>-80000</v>
      </c>
    </row>
    <row r="37" spans="2:8" x14ac:dyDescent="0.35">
      <c r="B37" s="5">
        <v>15407.696768089845</v>
      </c>
      <c r="C37" s="6">
        <f t="shared" si="0"/>
        <v>300000</v>
      </c>
      <c r="D37" s="5">
        <f t="shared" si="1"/>
        <v>550000</v>
      </c>
      <c r="F37" s="4">
        <v>7354.8387096774195</v>
      </c>
      <c r="G37" s="4">
        <f t="shared" si="2"/>
        <v>300000</v>
      </c>
      <c r="H37" s="4">
        <f t="shared" si="3"/>
        <v>-80000</v>
      </c>
    </row>
    <row r="38" spans="2:8" x14ac:dyDescent="0.35">
      <c r="B38" s="5">
        <v>13434.217352824488</v>
      </c>
      <c r="C38" s="6">
        <f t="shared" si="0"/>
        <v>300000</v>
      </c>
      <c r="D38" s="5">
        <f t="shared" si="1"/>
        <v>440395.21469771408</v>
      </c>
      <c r="F38" s="4">
        <v>5338.9385662404247</v>
      </c>
      <c r="G38" s="4">
        <f t="shared" si="2"/>
        <v>266946.92831202125</v>
      </c>
      <c r="H38" s="4">
        <f t="shared" si="3"/>
        <v>-126274.30036317027</v>
      </c>
    </row>
    <row r="39" spans="2:8" x14ac:dyDescent="0.35">
      <c r="B39" s="5">
        <v>16921.720023194066</v>
      </c>
      <c r="C39" s="6">
        <f t="shared" si="0"/>
        <v>300000</v>
      </c>
      <c r="D39" s="5">
        <f t="shared" si="1"/>
        <v>550000</v>
      </c>
      <c r="F39" s="4">
        <v>6029.7250282296209</v>
      </c>
      <c r="G39" s="4">
        <f t="shared" si="2"/>
        <v>300000</v>
      </c>
      <c r="H39" s="4">
        <f t="shared" si="3"/>
        <v>-80000</v>
      </c>
    </row>
    <row r="40" spans="2:8" x14ac:dyDescent="0.35">
      <c r="B40" s="5">
        <v>15972.899563585313</v>
      </c>
      <c r="C40" s="6">
        <f t="shared" si="0"/>
        <v>300000</v>
      </c>
      <c r="D40" s="5">
        <f t="shared" si="1"/>
        <v>550000</v>
      </c>
      <c r="F40" s="4">
        <v>3999.938962981048</v>
      </c>
      <c r="G40" s="4">
        <f t="shared" si="2"/>
        <v>199996.94814905239</v>
      </c>
      <c r="H40" s="4">
        <f t="shared" si="3"/>
        <v>-220004.27259132662</v>
      </c>
    </row>
    <row r="41" spans="2:8" x14ac:dyDescent="0.35">
      <c r="B41" s="5">
        <v>16135.410626544999</v>
      </c>
      <c r="C41" s="6">
        <f t="shared" si="0"/>
        <v>300000</v>
      </c>
      <c r="D41" s="5">
        <f t="shared" si="1"/>
        <v>550000</v>
      </c>
      <c r="F41" s="4">
        <v>5544.9385052034058</v>
      </c>
      <c r="G41" s="4">
        <f t="shared" si="2"/>
        <v>277246.9252601703</v>
      </c>
      <c r="H41" s="4">
        <f t="shared" si="3"/>
        <v>-111854.3046357616</v>
      </c>
    </row>
    <row r="42" spans="2:8" x14ac:dyDescent="0.35">
      <c r="B42" s="5">
        <v>13629.38322092349</v>
      </c>
      <c r="C42" s="6">
        <f t="shared" si="0"/>
        <v>300000</v>
      </c>
      <c r="D42" s="5">
        <f t="shared" si="1"/>
        <v>454056.82546464424</v>
      </c>
      <c r="F42" s="4">
        <v>5292.245246742149</v>
      </c>
      <c r="G42" s="4">
        <f t="shared" si="2"/>
        <v>264612.26233710744</v>
      </c>
      <c r="H42" s="4">
        <f t="shared" si="3"/>
        <v>-129542.83272804954</v>
      </c>
    </row>
    <row r="43" spans="2:8" x14ac:dyDescent="0.35">
      <c r="B43" s="5">
        <v>14915.433210242012</v>
      </c>
      <c r="C43" s="6">
        <f t="shared" si="0"/>
        <v>300000</v>
      </c>
      <c r="D43" s="5">
        <f t="shared" si="1"/>
        <v>544080.32471694087</v>
      </c>
      <c r="F43" s="4">
        <v>3155.4918057802056</v>
      </c>
      <c r="G43" s="4">
        <f t="shared" si="2"/>
        <v>157774.59028901029</v>
      </c>
      <c r="H43" s="4">
        <f t="shared" si="3"/>
        <v>-279115.57359538565</v>
      </c>
    </row>
    <row r="44" spans="2:8" x14ac:dyDescent="0.35">
      <c r="B44" s="5">
        <v>14115.237891781366</v>
      </c>
      <c r="C44" s="6">
        <f t="shared" si="0"/>
        <v>300000</v>
      </c>
      <c r="D44" s="5">
        <f t="shared" si="1"/>
        <v>488066.65242469555</v>
      </c>
      <c r="F44" s="4">
        <v>4996.0631122775958</v>
      </c>
      <c r="G44" s="4">
        <f t="shared" si="2"/>
        <v>249803.15561387979</v>
      </c>
      <c r="H44" s="4">
        <f t="shared" si="3"/>
        <v>-150275.58214056829</v>
      </c>
    </row>
    <row r="45" spans="2:8" x14ac:dyDescent="0.35">
      <c r="B45" s="5">
        <v>16753.868221076082</v>
      </c>
      <c r="C45" s="6">
        <f t="shared" si="0"/>
        <v>300000</v>
      </c>
      <c r="D45" s="5">
        <f t="shared" si="1"/>
        <v>550000</v>
      </c>
      <c r="F45" s="4">
        <v>5445.9059419537953</v>
      </c>
      <c r="G45" s="4">
        <f t="shared" si="2"/>
        <v>272295.29709768976</v>
      </c>
      <c r="H45" s="4">
        <f t="shared" si="3"/>
        <v>-118786.58406323433</v>
      </c>
    </row>
    <row r="46" spans="2:8" x14ac:dyDescent="0.35">
      <c r="B46" s="5">
        <v>12388.653218176823</v>
      </c>
      <c r="C46" s="6">
        <f t="shared" si="0"/>
        <v>300000</v>
      </c>
      <c r="D46" s="5">
        <f t="shared" si="1"/>
        <v>367205.7252723776</v>
      </c>
      <c r="F46" s="4">
        <v>6892.3306985686813</v>
      </c>
      <c r="G46" s="4">
        <f t="shared" si="2"/>
        <v>300000</v>
      </c>
      <c r="H46" s="4">
        <f t="shared" si="3"/>
        <v>-80000</v>
      </c>
    </row>
    <row r="47" spans="2:8" x14ac:dyDescent="0.35">
      <c r="B47" s="5">
        <v>14537.461470381786</v>
      </c>
      <c r="C47" s="6">
        <f t="shared" si="0"/>
        <v>300000</v>
      </c>
      <c r="D47" s="5">
        <f t="shared" si="1"/>
        <v>517622.30292672501</v>
      </c>
      <c r="F47" s="4">
        <v>4534.0128788109987</v>
      </c>
      <c r="G47" s="4">
        <f t="shared" si="2"/>
        <v>226700.64394054993</v>
      </c>
      <c r="H47" s="4">
        <f t="shared" si="3"/>
        <v>-182619.0984832301</v>
      </c>
    </row>
    <row r="48" spans="2:8" x14ac:dyDescent="0.35">
      <c r="B48" s="5">
        <v>14316.812646870327</v>
      </c>
      <c r="C48" s="6">
        <f t="shared" si="0"/>
        <v>300000</v>
      </c>
      <c r="D48" s="5">
        <f t="shared" si="1"/>
        <v>502176.88528092287</v>
      </c>
      <c r="F48" s="4">
        <v>7060.7928708761865</v>
      </c>
      <c r="G48" s="4">
        <f t="shared" si="2"/>
        <v>300000</v>
      </c>
      <c r="H48" s="4">
        <f t="shared" si="3"/>
        <v>-80000</v>
      </c>
    </row>
    <row r="49" spans="2:8" x14ac:dyDescent="0.35">
      <c r="B49" s="5">
        <v>13644.032105471968</v>
      </c>
      <c r="C49" s="6">
        <f t="shared" si="0"/>
        <v>300000</v>
      </c>
      <c r="D49" s="5">
        <f t="shared" si="1"/>
        <v>455082.24738303781</v>
      </c>
      <c r="F49" s="4">
        <v>6443.0982390820027</v>
      </c>
      <c r="G49" s="4">
        <f t="shared" si="2"/>
        <v>300000</v>
      </c>
      <c r="H49" s="4">
        <f t="shared" si="3"/>
        <v>-80000</v>
      </c>
    </row>
    <row r="50" spans="2:8" x14ac:dyDescent="0.35">
      <c r="B50" s="5">
        <v>15142.185735648671</v>
      </c>
      <c r="C50" s="6">
        <f t="shared" si="0"/>
        <v>300000</v>
      </c>
      <c r="D50" s="5">
        <f t="shared" si="1"/>
        <v>550000</v>
      </c>
      <c r="F50" s="4">
        <v>4954.5579393902399</v>
      </c>
      <c r="G50" s="4">
        <f t="shared" si="2"/>
        <v>247727.89696951199</v>
      </c>
      <c r="H50" s="4">
        <f t="shared" si="3"/>
        <v>-153180.94424268318</v>
      </c>
    </row>
    <row r="51" spans="2:8" x14ac:dyDescent="0.35">
      <c r="B51" s="5">
        <v>13279.488509781182</v>
      </c>
      <c r="C51" s="6">
        <f t="shared" si="0"/>
        <v>300000</v>
      </c>
      <c r="D51" s="5">
        <f t="shared" si="1"/>
        <v>429564.19568468269</v>
      </c>
      <c r="F51" s="4">
        <v>4305.8870204779196</v>
      </c>
      <c r="G51" s="4">
        <f t="shared" si="2"/>
        <v>215294.35102389599</v>
      </c>
      <c r="H51" s="4">
        <f t="shared" si="3"/>
        <v>-198587.90856654564</v>
      </c>
    </row>
    <row r="52" spans="2:8" x14ac:dyDescent="0.35">
      <c r="B52" s="5">
        <v>15256.630146183661</v>
      </c>
      <c r="C52" s="6">
        <f t="shared" si="0"/>
        <v>300000</v>
      </c>
      <c r="D52" s="5">
        <f t="shared" si="1"/>
        <v>550000</v>
      </c>
      <c r="F52" s="4">
        <v>4512.0395519882804</v>
      </c>
      <c r="G52" s="4">
        <f t="shared" si="2"/>
        <v>225601.97759941401</v>
      </c>
      <c r="H52" s="4">
        <f t="shared" si="3"/>
        <v>-184157.23136082035</v>
      </c>
    </row>
    <row r="53" spans="2:8" x14ac:dyDescent="0.35">
      <c r="B53" s="5">
        <v>14803.582873012481</v>
      </c>
      <c r="C53" s="6">
        <f t="shared" si="0"/>
        <v>300000</v>
      </c>
      <c r="D53" s="5">
        <f t="shared" si="1"/>
        <v>536250.8011108737</v>
      </c>
      <c r="F53" s="4">
        <v>7860.3778191473129</v>
      </c>
      <c r="G53" s="4">
        <f t="shared" si="2"/>
        <v>300000</v>
      </c>
      <c r="H53" s="4">
        <f t="shared" si="3"/>
        <v>-80000</v>
      </c>
    </row>
    <row r="54" spans="2:8" x14ac:dyDescent="0.35">
      <c r="B54" s="5">
        <v>13290.780358287302</v>
      </c>
      <c r="C54" s="6">
        <f t="shared" si="0"/>
        <v>300000</v>
      </c>
      <c r="D54" s="5">
        <f t="shared" si="1"/>
        <v>430354.6250801112</v>
      </c>
      <c r="F54" s="4">
        <v>7173.7113559373765</v>
      </c>
      <c r="G54" s="4">
        <f t="shared" si="2"/>
        <v>300000</v>
      </c>
      <c r="H54" s="4">
        <f t="shared" si="3"/>
        <v>-80000</v>
      </c>
    </row>
    <row r="55" spans="2:8" x14ac:dyDescent="0.35">
      <c r="B55" s="5">
        <v>13259.346293527024</v>
      </c>
      <c r="C55" s="6">
        <f t="shared" si="0"/>
        <v>300000</v>
      </c>
      <c r="D55" s="5">
        <f t="shared" si="1"/>
        <v>428154.2405468917</v>
      </c>
      <c r="F55" s="4">
        <v>4887.4172185430461</v>
      </c>
      <c r="G55" s="4">
        <f t="shared" si="2"/>
        <v>244370.8609271523</v>
      </c>
      <c r="H55" s="4">
        <f t="shared" si="3"/>
        <v>-157880.79470198677</v>
      </c>
    </row>
    <row r="56" spans="2:8" x14ac:dyDescent="0.35">
      <c r="B56" s="5">
        <v>14119.968260750145</v>
      </c>
      <c r="C56" s="6">
        <f t="shared" si="0"/>
        <v>300000</v>
      </c>
      <c r="D56" s="5">
        <f t="shared" si="1"/>
        <v>488397.77825251012</v>
      </c>
      <c r="F56" s="4">
        <v>6100.5279702139351</v>
      </c>
      <c r="G56" s="4">
        <f t="shared" si="2"/>
        <v>300000</v>
      </c>
      <c r="H56" s="4">
        <f t="shared" si="3"/>
        <v>-80000</v>
      </c>
    </row>
    <row r="57" spans="2:8" x14ac:dyDescent="0.35">
      <c r="B57" s="5">
        <v>15564.256721701711</v>
      </c>
      <c r="C57" s="6">
        <f t="shared" si="0"/>
        <v>300000</v>
      </c>
      <c r="D57" s="5">
        <f t="shared" si="1"/>
        <v>550000</v>
      </c>
      <c r="F57" s="4">
        <v>7949.7970519119845</v>
      </c>
      <c r="G57" s="4">
        <f t="shared" si="2"/>
        <v>300000</v>
      </c>
      <c r="H57" s="4">
        <f t="shared" si="3"/>
        <v>-80000</v>
      </c>
    </row>
    <row r="58" spans="2:8" x14ac:dyDescent="0.35">
      <c r="B58" s="5">
        <v>12676.595355082858</v>
      </c>
      <c r="C58" s="6">
        <f t="shared" si="0"/>
        <v>300000</v>
      </c>
      <c r="D58" s="5">
        <f t="shared" si="1"/>
        <v>387361.67485580011</v>
      </c>
      <c r="F58" s="4">
        <v>7779.5037690359204</v>
      </c>
      <c r="G58" s="4">
        <f t="shared" si="2"/>
        <v>300000</v>
      </c>
      <c r="H58" s="4">
        <f t="shared" si="3"/>
        <v>-80000</v>
      </c>
    </row>
    <row r="59" spans="2:8" x14ac:dyDescent="0.35">
      <c r="B59" s="5">
        <v>13935.636463515122</v>
      </c>
      <c r="C59" s="6">
        <f t="shared" si="0"/>
        <v>300000</v>
      </c>
      <c r="D59" s="5">
        <f t="shared" si="1"/>
        <v>475494.5524460586</v>
      </c>
      <c r="F59" s="4">
        <v>4128.1167027802367</v>
      </c>
      <c r="G59" s="4">
        <f t="shared" si="2"/>
        <v>206405.83513901185</v>
      </c>
      <c r="H59" s="4">
        <f t="shared" si="3"/>
        <v>-211031.83080538345</v>
      </c>
    </row>
    <row r="60" spans="2:8" x14ac:dyDescent="0.35">
      <c r="B60" s="5">
        <v>14076.174199652089</v>
      </c>
      <c r="C60" s="6">
        <f t="shared" si="0"/>
        <v>300000</v>
      </c>
      <c r="D60" s="5">
        <f t="shared" si="1"/>
        <v>485332.19397564617</v>
      </c>
      <c r="F60" s="4">
        <v>4158.1774346140937</v>
      </c>
      <c r="G60" s="4">
        <f t="shared" si="2"/>
        <v>207908.87173070468</v>
      </c>
      <c r="H60" s="4">
        <f t="shared" si="3"/>
        <v>-208927.57957701344</v>
      </c>
    </row>
    <row r="61" spans="2:8" x14ac:dyDescent="0.35">
      <c r="B61" s="5">
        <v>14282.17413861507</v>
      </c>
      <c r="C61" s="6">
        <f t="shared" si="0"/>
        <v>300000</v>
      </c>
      <c r="D61" s="5">
        <f t="shared" si="1"/>
        <v>499752.18970305484</v>
      </c>
      <c r="F61" s="4">
        <v>4571.5506454664755</v>
      </c>
      <c r="G61" s="4">
        <f t="shared" si="2"/>
        <v>228577.53227332377</v>
      </c>
      <c r="H61" s="4">
        <f t="shared" si="3"/>
        <v>-179991.4548173467</v>
      </c>
    </row>
    <row r="62" spans="2:8" x14ac:dyDescent="0.35">
      <c r="B62" s="5">
        <v>12140.385143589587</v>
      </c>
      <c r="C62" s="6">
        <f t="shared" si="0"/>
        <v>300000</v>
      </c>
      <c r="D62" s="5">
        <f t="shared" si="1"/>
        <v>349826.96005127102</v>
      </c>
      <c r="F62" s="4">
        <v>6124.1798150578325</v>
      </c>
      <c r="G62" s="4">
        <f t="shared" si="2"/>
        <v>300000</v>
      </c>
      <c r="H62" s="4">
        <f t="shared" si="3"/>
        <v>-80000</v>
      </c>
    </row>
    <row r="63" spans="2:8" x14ac:dyDescent="0.35">
      <c r="B63" s="5">
        <v>14560.045167394024</v>
      </c>
      <c r="C63" s="6">
        <f t="shared" si="0"/>
        <v>300000</v>
      </c>
      <c r="D63" s="5">
        <f t="shared" si="1"/>
        <v>519203.16171758168</v>
      </c>
      <c r="F63" s="4">
        <v>7675.7408368175293</v>
      </c>
      <c r="G63" s="4">
        <f t="shared" si="2"/>
        <v>300000</v>
      </c>
      <c r="H63" s="4">
        <f t="shared" si="3"/>
        <v>-80000</v>
      </c>
    </row>
    <row r="64" spans="2:8" x14ac:dyDescent="0.35">
      <c r="B64" s="5">
        <v>12548.11243018891</v>
      </c>
      <c r="C64" s="6">
        <f t="shared" si="0"/>
        <v>300000</v>
      </c>
      <c r="D64" s="5">
        <f t="shared" si="1"/>
        <v>378367.87011322367</v>
      </c>
      <c r="F64" s="4">
        <v>3131.687368388928</v>
      </c>
      <c r="G64" s="4">
        <f t="shared" si="2"/>
        <v>156584.3684194464</v>
      </c>
      <c r="H64" s="4">
        <f t="shared" si="3"/>
        <v>-280781.88421277504</v>
      </c>
    </row>
    <row r="65" spans="2:8" x14ac:dyDescent="0.35">
      <c r="B65" s="5">
        <v>15653.370769371624</v>
      </c>
      <c r="C65" s="6">
        <f t="shared" si="0"/>
        <v>300000</v>
      </c>
      <c r="D65" s="5">
        <f t="shared" si="1"/>
        <v>550000</v>
      </c>
      <c r="F65" s="4">
        <v>7718.7719351786864</v>
      </c>
      <c r="G65" s="4">
        <f t="shared" si="2"/>
        <v>300000</v>
      </c>
      <c r="H65" s="4">
        <f t="shared" si="3"/>
        <v>-80000</v>
      </c>
    </row>
    <row r="66" spans="2:8" x14ac:dyDescent="0.35">
      <c r="B66" s="5">
        <v>14198.706015198219</v>
      </c>
      <c r="C66" s="6">
        <f t="shared" si="0"/>
        <v>300000</v>
      </c>
      <c r="D66" s="5">
        <f t="shared" si="1"/>
        <v>493909.42106387531</v>
      </c>
      <c r="F66" s="4">
        <v>4731.925412762841</v>
      </c>
      <c r="G66" s="4">
        <f t="shared" si="2"/>
        <v>236596.27063814204</v>
      </c>
      <c r="H66" s="4">
        <f t="shared" si="3"/>
        <v>-168765.22110660112</v>
      </c>
    </row>
    <row r="67" spans="2:8" x14ac:dyDescent="0.35">
      <c r="B67" s="5">
        <v>15271.431623279519</v>
      </c>
      <c r="C67" s="6">
        <f t="shared" si="0"/>
        <v>300000</v>
      </c>
      <c r="D67" s="5">
        <f t="shared" si="1"/>
        <v>550000</v>
      </c>
      <c r="F67" s="4">
        <v>7950.5600146488841</v>
      </c>
      <c r="G67" s="4">
        <f t="shared" si="2"/>
        <v>300000</v>
      </c>
      <c r="H67" s="4">
        <f t="shared" si="3"/>
        <v>-80000</v>
      </c>
    </row>
    <row r="68" spans="2:8" x14ac:dyDescent="0.35">
      <c r="B68" s="5">
        <v>13555.070650349437</v>
      </c>
      <c r="C68" s="6">
        <f t="shared" si="0"/>
        <v>300000</v>
      </c>
      <c r="D68" s="5">
        <f t="shared" si="1"/>
        <v>448854.94552446052</v>
      </c>
      <c r="F68" s="4">
        <v>3281.6858424634543</v>
      </c>
      <c r="G68" s="4">
        <f t="shared" si="2"/>
        <v>164084.29212317272</v>
      </c>
      <c r="H68" s="4">
        <f t="shared" si="3"/>
        <v>-270281.99102755822</v>
      </c>
    </row>
    <row r="69" spans="2:8" x14ac:dyDescent="0.35">
      <c r="B69" s="5">
        <v>16812.768944364758</v>
      </c>
      <c r="C69" s="6">
        <f t="shared" si="0"/>
        <v>300000</v>
      </c>
      <c r="D69" s="5">
        <f t="shared" si="1"/>
        <v>550000</v>
      </c>
      <c r="F69" s="4">
        <v>6543.5041352580338</v>
      </c>
      <c r="G69" s="4">
        <f t="shared" si="2"/>
        <v>300000</v>
      </c>
      <c r="H69" s="4">
        <f t="shared" si="3"/>
        <v>-80000</v>
      </c>
    </row>
    <row r="70" spans="2:8" x14ac:dyDescent="0.35">
      <c r="B70" s="5">
        <v>12370.189519943846</v>
      </c>
      <c r="C70" s="6">
        <f t="shared" si="0"/>
        <v>300000</v>
      </c>
      <c r="D70" s="5">
        <f t="shared" si="1"/>
        <v>365913.2663960692</v>
      </c>
      <c r="F70" s="4">
        <v>3842.6160466322826</v>
      </c>
      <c r="G70" s="4">
        <f t="shared" si="2"/>
        <v>192130.80233161413</v>
      </c>
      <c r="H70" s="4">
        <f t="shared" si="3"/>
        <v>-231016.87673574022</v>
      </c>
    </row>
    <row r="71" spans="2:8" x14ac:dyDescent="0.35">
      <c r="B71" s="5">
        <v>13239.509262367626</v>
      </c>
      <c r="C71" s="6">
        <f t="shared" si="0"/>
        <v>300000</v>
      </c>
      <c r="D71" s="5">
        <f t="shared" si="1"/>
        <v>426765.6483657338</v>
      </c>
      <c r="F71" s="4">
        <v>3638.7524033326213</v>
      </c>
      <c r="G71" s="4">
        <f t="shared" si="2"/>
        <v>181937.62016663107</v>
      </c>
      <c r="H71" s="4">
        <f t="shared" si="3"/>
        <v>-245287.33176671652</v>
      </c>
    </row>
    <row r="72" spans="2:8" x14ac:dyDescent="0.35">
      <c r="B72" s="5">
        <v>14907.040620136113</v>
      </c>
      <c r="C72" s="6">
        <f t="shared" si="0"/>
        <v>300000</v>
      </c>
      <c r="D72" s="5">
        <f t="shared" si="1"/>
        <v>543492.84340952791</v>
      </c>
      <c r="F72" s="4">
        <v>7829.096346934416</v>
      </c>
      <c r="G72" s="4">
        <f t="shared" si="2"/>
        <v>300000</v>
      </c>
      <c r="H72" s="4">
        <f t="shared" si="3"/>
        <v>-80000</v>
      </c>
    </row>
    <row r="73" spans="2:8" x14ac:dyDescent="0.35">
      <c r="B73" s="5">
        <v>13873.073519089328</v>
      </c>
      <c r="C73" s="6">
        <f t="shared" si="0"/>
        <v>300000</v>
      </c>
      <c r="D73" s="5">
        <f t="shared" si="1"/>
        <v>471115.14633625303</v>
      </c>
      <c r="F73" s="4">
        <v>6043.3057649464399</v>
      </c>
      <c r="G73" s="4">
        <f t="shared" si="2"/>
        <v>300000</v>
      </c>
      <c r="H73" s="4">
        <f t="shared" si="3"/>
        <v>-80000</v>
      </c>
    </row>
    <row r="74" spans="2:8" x14ac:dyDescent="0.35">
      <c r="B74" s="5">
        <v>12186.162907803582</v>
      </c>
      <c r="C74" s="6">
        <f t="shared" si="0"/>
        <v>300000</v>
      </c>
      <c r="D74" s="5">
        <f t="shared" si="1"/>
        <v>353031.40354625077</v>
      </c>
      <c r="F74" s="4">
        <v>6982.2077089754939</v>
      </c>
      <c r="G74" s="4">
        <f t="shared" si="2"/>
        <v>300000</v>
      </c>
      <c r="H74" s="4">
        <f t="shared" si="3"/>
        <v>-80000</v>
      </c>
    </row>
    <row r="75" spans="2:8" x14ac:dyDescent="0.35">
      <c r="B75" s="5">
        <v>12762.65755180517</v>
      </c>
      <c r="C75" s="6">
        <f t="shared" si="0"/>
        <v>300000</v>
      </c>
      <c r="D75" s="5">
        <f t="shared" si="1"/>
        <v>393386.02862636198</v>
      </c>
      <c r="F75" s="4">
        <v>6109.2257454145938</v>
      </c>
      <c r="G75" s="4">
        <f t="shared" si="2"/>
        <v>300000</v>
      </c>
      <c r="H75" s="4">
        <f t="shared" si="3"/>
        <v>-80000</v>
      </c>
    </row>
    <row r="76" spans="2:8" x14ac:dyDescent="0.35">
      <c r="B76" s="5">
        <v>13535.538804284799</v>
      </c>
      <c r="C76" s="6">
        <f t="shared" ref="C76:C139" si="4">50*MIN(B76,6000)</f>
        <v>300000</v>
      </c>
      <c r="D76" s="5">
        <f t="shared" ref="D76:D139" si="5">70*MIN(B76,15000)-500000</f>
        <v>447487.71629993594</v>
      </c>
      <c r="F76" s="4">
        <v>4330.4544206060973</v>
      </c>
      <c r="G76" s="4">
        <f t="shared" ref="G76:G139" si="6">50*MIN(F76,6000)</f>
        <v>216522.72103030488</v>
      </c>
      <c r="H76" s="4">
        <f t="shared" ref="H76:H139" si="7">70*MIN(F76,6000)-500000</f>
        <v>-196868.19055757317</v>
      </c>
    </row>
    <row r="77" spans="2:8" x14ac:dyDescent="0.35">
      <c r="B77" s="5">
        <v>14059.694204535052</v>
      </c>
      <c r="C77" s="6">
        <f t="shared" si="4"/>
        <v>300000</v>
      </c>
      <c r="D77" s="5">
        <f t="shared" si="5"/>
        <v>484178.59431745356</v>
      </c>
      <c r="F77" s="4">
        <v>6060.3961302529988</v>
      </c>
      <c r="G77" s="4">
        <f t="shared" si="6"/>
        <v>300000</v>
      </c>
      <c r="H77" s="4">
        <f t="shared" si="7"/>
        <v>-80000</v>
      </c>
    </row>
    <row r="78" spans="2:8" x14ac:dyDescent="0.35">
      <c r="B78" s="5">
        <v>15411.206396679587</v>
      </c>
      <c r="C78" s="6">
        <f t="shared" si="4"/>
        <v>300000</v>
      </c>
      <c r="D78" s="5">
        <f t="shared" si="5"/>
        <v>550000</v>
      </c>
      <c r="F78" s="4">
        <v>4587.8780480361338</v>
      </c>
      <c r="G78" s="4">
        <f t="shared" si="6"/>
        <v>229393.9024018067</v>
      </c>
      <c r="H78" s="4">
        <f t="shared" si="7"/>
        <v>-178848.53663747065</v>
      </c>
    </row>
    <row r="79" spans="2:8" x14ac:dyDescent="0.35">
      <c r="B79" s="5">
        <v>15727.530747398298</v>
      </c>
      <c r="C79" s="6">
        <f t="shared" si="4"/>
        <v>300000</v>
      </c>
      <c r="D79" s="5">
        <f t="shared" si="5"/>
        <v>550000</v>
      </c>
      <c r="F79" s="4">
        <v>6659.6270638142032</v>
      </c>
      <c r="G79" s="4">
        <f t="shared" si="6"/>
        <v>300000</v>
      </c>
      <c r="H79" s="4">
        <f t="shared" si="7"/>
        <v>-80000</v>
      </c>
    </row>
    <row r="80" spans="2:8" x14ac:dyDescent="0.35">
      <c r="B80" s="5">
        <v>14740.104373302407</v>
      </c>
      <c r="C80" s="6">
        <f t="shared" si="4"/>
        <v>300000</v>
      </c>
      <c r="D80" s="5">
        <f t="shared" si="5"/>
        <v>531807.3061311685</v>
      </c>
      <c r="F80" s="4">
        <v>3563.2190923795283</v>
      </c>
      <c r="G80" s="4">
        <f t="shared" si="6"/>
        <v>178160.95461897642</v>
      </c>
      <c r="H80" s="4">
        <f t="shared" si="7"/>
        <v>-250574.66353343302</v>
      </c>
    </row>
    <row r="81" spans="2:8" x14ac:dyDescent="0.35">
      <c r="B81" s="5">
        <v>16096.499526963104</v>
      </c>
      <c r="C81" s="6">
        <f t="shared" si="4"/>
        <v>300000</v>
      </c>
      <c r="D81" s="5">
        <f t="shared" si="5"/>
        <v>550000</v>
      </c>
      <c r="F81" s="4">
        <v>7751.4267403180029</v>
      </c>
      <c r="G81" s="4">
        <f t="shared" si="6"/>
        <v>300000</v>
      </c>
      <c r="H81" s="4">
        <f t="shared" si="7"/>
        <v>-80000</v>
      </c>
    </row>
    <row r="82" spans="2:8" x14ac:dyDescent="0.35">
      <c r="B82" s="5">
        <v>14508.926664021728</v>
      </c>
      <c r="C82" s="6">
        <f t="shared" si="4"/>
        <v>300000</v>
      </c>
      <c r="D82" s="5">
        <f t="shared" si="5"/>
        <v>515624.86648152093</v>
      </c>
      <c r="F82" s="4">
        <v>5222.8156376842562</v>
      </c>
      <c r="G82" s="4">
        <f t="shared" si="6"/>
        <v>261140.7818842128</v>
      </c>
      <c r="H82" s="4">
        <f t="shared" si="7"/>
        <v>-134402.90536210209</v>
      </c>
    </row>
    <row r="83" spans="2:8" x14ac:dyDescent="0.35">
      <c r="B83" s="5">
        <v>16336.375011444441</v>
      </c>
      <c r="C83" s="6">
        <f t="shared" si="4"/>
        <v>300000</v>
      </c>
      <c r="D83" s="5">
        <f t="shared" si="5"/>
        <v>550000</v>
      </c>
      <c r="F83" s="4">
        <v>5999.5117038483841</v>
      </c>
      <c r="G83" s="4">
        <f t="shared" si="6"/>
        <v>299975.58519241918</v>
      </c>
      <c r="H83" s="4">
        <f t="shared" si="7"/>
        <v>-80034.180730613123</v>
      </c>
    </row>
    <row r="84" spans="2:8" x14ac:dyDescent="0.35">
      <c r="B84" s="5">
        <v>13630.909146397291</v>
      </c>
      <c r="C84" s="6">
        <f t="shared" si="4"/>
        <v>300000</v>
      </c>
      <c r="D84" s="5">
        <f t="shared" si="5"/>
        <v>454163.6402478104</v>
      </c>
      <c r="F84" s="4">
        <v>6701.4374217963195</v>
      </c>
      <c r="G84" s="4">
        <f t="shared" si="6"/>
        <v>300000</v>
      </c>
      <c r="H84" s="4">
        <f t="shared" si="7"/>
        <v>-80000</v>
      </c>
    </row>
    <row r="85" spans="2:8" x14ac:dyDescent="0.35">
      <c r="B85" s="5">
        <v>14000.030518509477</v>
      </c>
      <c r="C85" s="6">
        <f t="shared" si="4"/>
        <v>300000</v>
      </c>
      <c r="D85" s="5">
        <f t="shared" si="5"/>
        <v>480002.13629566343</v>
      </c>
      <c r="F85" s="4">
        <v>5185.4304635761591</v>
      </c>
      <c r="G85" s="4">
        <f t="shared" si="6"/>
        <v>259271.52317880795</v>
      </c>
      <c r="H85" s="4">
        <f t="shared" si="7"/>
        <v>-137019.86754966888</v>
      </c>
    </row>
    <row r="86" spans="2:8" x14ac:dyDescent="0.35">
      <c r="B86" s="5">
        <v>16884.334849085972</v>
      </c>
      <c r="C86" s="6">
        <f t="shared" si="4"/>
        <v>300000</v>
      </c>
      <c r="D86" s="5">
        <f t="shared" si="5"/>
        <v>550000</v>
      </c>
      <c r="F86" s="4">
        <v>6408.9175084688868</v>
      </c>
      <c r="G86" s="4">
        <f t="shared" si="6"/>
        <v>300000</v>
      </c>
      <c r="H86" s="4">
        <f t="shared" si="7"/>
        <v>-80000</v>
      </c>
    </row>
    <row r="87" spans="2:8" x14ac:dyDescent="0.35">
      <c r="B87" s="5">
        <v>16508.194219794306</v>
      </c>
      <c r="C87" s="6">
        <f t="shared" si="4"/>
        <v>300000</v>
      </c>
      <c r="D87" s="5">
        <f t="shared" si="5"/>
        <v>550000</v>
      </c>
      <c r="F87" s="4">
        <v>4876.735740226447</v>
      </c>
      <c r="G87" s="4">
        <f t="shared" si="6"/>
        <v>243836.78701132236</v>
      </c>
      <c r="H87" s="4">
        <f t="shared" si="7"/>
        <v>-158628.49818414869</v>
      </c>
    </row>
    <row r="88" spans="2:8" x14ac:dyDescent="0.35">
      <c r="B88" s="5">
        <v>14551.652577288125</v>
      </c>
      <c r="C88" s="6">
        <f t="shared" si="4"/>
        <v>300000</v>
      </c>
      <c r="D88" s="5">
        <f t="shared" si="5"/>
        <v>518615.68041016872</v>
      </c>
      <c r="F88" s="4">
        <v>4062.9596850489825</v>
      </c>
      <c r="G88" s="4">
        <f t="shared" si="6"/>
        <v>203147.98425244913</v>
      </c>
      <c r="H88" s="4">
        <f t="shared" si="7"/>
        <v>-215592.82204657124</v>
      </c>
    </row>
    <row r="89" spans="2:8" x14ac:dyDescent="0.35">
      <c r="B89" s="5">
        <v>16939.725943784906</v>
      </c>
      <c r="C89" s="6">
        <f t="shared" si="4"/>
        <v>300000</v>
      </c>
      <c r="D89" s="5">
        <f t="shared" si="5"/>
        <v>550000</v>
      </c>
      <c r="F89" s="4">
        <v>7224.5246742149111</v>
      </c>
      <c r="G89" s="4">
        <f t="shared" si="6"/>
        <v>300000</v>
      </c>
      <c r="H89" s="4">
        <f t="shared" si="7"/>
        <v>-80000</v>
      </c>
    </row>
    <row r="90" spans="2:8" x14ac:dyDescent="0.35">
      <c r="B90" s="5">
        <v>15931.089205603199</v>
      </c>
      <c r="C90" s="6">
        <f t="shared" si="4"/>
        <v>300000</v>
      </c>
      <c r="D90" s="5">
        <f t="shared" si="5"/>
        <v>550000</v>
      </c>
      <c r="F90" s="4">
        <v>4610.0039674062318</v>
      </c>
      <c r="G90" s="4">
        <f t="shared" si="6"/>
        <v>230500.19837031158</v>
      </c>
      <c r="H90" s="4">
        <f t="shared" si="7"/>
        <v>-177299.72228156379</v>
      </c>
    </row>
    <row r="91" spans="2:8" x14ac:dyDescent="0.35">
      <c r="B91" s="5">
        <v>15859.370708334605</v>
      </c>
      <c r="C91" s="6">
        <f t="shared" si="4"/>
        <v>300000</v>
      </c>
      <c r="D91" s="5">
        <f t="shared" si="5"/>
        <v>550000</v>
      </c>
      <c r="F91" s="4">
        <v>7250.9231849116495</v>
      </c>
      <c r="G91" s="4">
        <f t="shared" si="6"/>
        <v>300000</v>
      </c>
      <c r="H91" s="4">
        <f t="shared" si="7"/>
        <v>-80000</v>
      </c>
    </row>
    <row r="92" spans="2:8" x14ac:dyDescent="0.35">
      <c r="B92" s="5">
        <v>16760.734885708182</v>
      </c>
      <c r="C92" s="6">
        <f t="shared" si="4"/>
        <v>300000</v>
      </c>
      <c r="D92" s="5">
        <f t="shared" si="5"/>
        <v>550000</v>
      </c>
      <c r="F92" s="4">
        <v>6212.8360850856043</v>
      </c>
      <c r="G92" s="4">
        <f t="shared" si="6"/>
        <v>300000</v>
      </c>
      <c r="H92" s="4">
        <f t="shared" si="7"/>
        <v>-80000</v>
      </c>
    </row>
    <row r="93" spans="2:8" x14ac:dyDescent="0.35">
      <c r="B93" s="5">
        <v>15316.141239661854</v>
      </c>
      <c r="C93" s="6">
        <f t="shared" si="4"/>
        <v>300000</v>
      </c>
      <c r="D93" s="5">
        <f t="shared" si="5"/>
        <v>550000</v>
      </c>
      <c r="F93" s="4">
        <v>7342.6313058870201</v>
      </c>
      <c r="G93" s="4">
        <f t="shared" si="6"/>
        <v>300000</v>
      </c>
      <c r="H93" s="4">
        <f t="shared" si="7"/>
        <v>-80000</v>
      </c>
    </row>
    <row r="94" spans="2:8" x14ac:dyDescent="0.35">
      <c r="B94" s="5">
        <v>13417.279580065309</v>
      </c>
      <c r="C94" s="6">
        <f t="shared" si="4"/>
        <v>300000</v>
      </c>
      <c r="D94" s="5">
        <f t="shared" si="5"/>
        <v>439209.57060457161</v>
      </c>
      <c r="F94" s="4">
        <v>6397.9308450575272</v>
      </c>
      <c r="G94" s="4">
        <f t="shared" si="6"/>
        <v>300000</v>
      </c>
      <c r="H94" s="4">
        <f t="shared" si="7"/>
        <v>-80000</v>
      </c>
    </row>
    <row r="95" spans="2:8" x14ac:dyDescent="0.35">
      <c r="B95" s="5">
        <v>12671.254615924558</v>
      </c>
      <c r="C95" s="6">
        <f t="shared" si="4"/>
        <v>300000</v>
      </c>
      <c r="D95" s="5">
        <f t="shared" si="5"/>
        <v>386987.82311471901</v>
      </c>
      <c r="F95" s="4">
        <v>4923.276467177343</v>
      </c>
      <c r="G95" s="4">
        <f t="shared" si="6"/>
        <v>246163.82335886714</v>
      </c>
      <c r="H95" s="4">
        <f t="shared" si="7"/>
        <v>-155370.64729758597</v>
      </c>
    </row>
    <row r="96" spans="2:8" x14ac:dyDescent="0.35">
      <c r="B96" s="5">
        <v>12153.965880306407</v>
      </c>
      <c r="C96" s="6">
        <f t="shared" si="4"/>
        <v>300000</v>
      </c>
      <c r="D96" s="5">
        <f t="shared" si="5"/>
        <v>350777.61162144842</v>
      </c>
      <c r="F96" s="4">
        <v>5698.4466078676714</v>
      </c>
      <c r="G96" s="4">
        <f t="shared" si="6"/>
        <v>284922.33039338357</v>
      </c>
      <c r="H96" s="4">
        <f t="shared" si="7"/>
        <v>-101108.73744926299</v>
      </c>
    </row>
    <row r="97" spans="2:8" x14ac:dyDescent="0.35">
      <c r="B97" s="5">
        <v>15719.290749839778</v>
      </c>
      <c r="C97" s="6">
        <f t="shared" si="4"/>
        <v>300000</v>
      </c>
      <c r="D97" s="5">
        <f t="shared" si="5"/>
        <v>550000</v>
      </c>
      <c r="F97" s="4">
        <v>6542.5885799737534</v>
      </c>
      <c r="G97" s="4">
        <f t="shared" si="6"/>
        <v>300000</v>
      </c>
      <c r="H97" s="4">
        <f t="shared" si="7"/>
        <v>-80000</v>
      </c>
    </row>
    <row r="98" spans="2:8" x14ac:dyDescent="0.35">
      <c r="B98" s="5">
        <v>15241.218298898282</v>
      </c>
      <c r="C98" s="6">
        <f t="shared" si="4"/>
        <v>300000</v>
      </c>
      <c r="D98" s="5">
        <f t="shared" si="5"/>
        <v>550000</v>
      </c>
      <c r="F98" s="4">
        <v>5329.4778283028663</v>
      </c>
      <c r="G98" s="4">
        <f t="shared" si="6"/>
        <v>266473.89141514333</v>
      </c>
      <c r="H98" s="4">
        <f t="shared" si="7"/>
        <v>-126936.55201879935</v>
      </c>
    </row>
    <row r="99" spans="2:8" x14ac:dyDescent="0.35">
      <c r="B99" s="5">
        <v>14750.938444166386</v>
      </c>
      <c r="C99" s="6">
        <f t="shared" si="4"/>
        <v>300000</v>
      </c>
      <c r="D99" s="5">
        <f t="shared" si="5"/>
        <v>532565.69109164702</v>
      </c>
      <c r="F99" s="4">
        <v>5028.1075472273933</v>
      </c>
      <c r="G99" s="4">
        <f t="shared" si="6"/>
        <v>251405.37736136967</v>
      </c>
      <c r="H99" s="4">
        <f t="shared" si="7"/>
        <v>-148032.47169408249</v>
      </c>
    </row>
    <row r="100" spans="2:8" x14ac:dyDescent="0.35">
      <c r="B100" s="5">
        <v>13310.769981994079</v>
      </c>
      <c r="C100" s="6">
        <f t="shared" si="4"/>
        <v>300000</v>
      </c>
      <c r="D100" s="5">
        <f t="shared" si="5"/>
        <v>431753.89873958554</v>
      </c>
      <c r="F100" s="4">
        <v>5202.520828882718</v>
      </c>
      <c r="G100" s="4">
        <f t="shared" si="6"/>
        <v>260126.04144413589</v>
      </c>
      <c r="H100" s="4">
        <f t="shared" si="7"/>
        <v>-135823.54197820975</v>
      </c>
    </row>
    <row r="101" spans="2:8" x14ac:dyDescent="0.35">
      <c r="B101" s="5">
        <v>14916.653950621052</v>
      </c>
      <c r="C101" s="6">
        <f t="shared" si="4"/>
        <v>300000</v>
      </c>
      <c r="D101" s="5">
        <f t="shared" si="5"/>
        <v>544165.77654347359</v>
      </c>
      <c r="F101" s="4">
        <v>7022.7973265785695</v>
      </c>
      <c r="G101" s="4">
        <f t="shared" si="6"/>
        <v>300000</v>
      </c>
      <c r="H101" s="4">
        <f t="shared" si="7"/>
        <v>-80000</v>
      </c>
    </row>
    <row r="102" spans="2:8" x14ac:dyDescent="0.35">
      <c r="B102" s="5">
        <v>15085.726493118076</v>
      </c>
      <c r="C102" s="6">
        <f t="shared" si="4"/>
        <v>300000</v>
      </c>
      <c r="D102" s="5">
        <f t="shared" si="5"/>
        <v>550000</v>
      </c>
      <c r="F102" s="4">
        <v>6569.9026459547713</v>
      </c>
      <c r="G102" s="4">
        <f t="shared" si="6"/>
        <v>300000</v>
      </c>
      <c r="H102" s="4">
        <f t="shared" si="7"/>
        <v>-80000</v>
      </c>
    </row>
    <row r="103" spans="2:8" x14ac:dyDescent="0.35">
      <c r="B103" s="5">
        <v>16588.457899716177</v>
      </c>
      <c r="C103" s="6">
        <f t="shared" si="4"/>
        <v>300000</v>
      </c>
      <c r="D103" s="5">
        <f t="shared" si="5"/>
        <v>550000</v>
      </c>
      <c r="F103" s="4">
        <v>4289.8648030030217</v>
      </c>
      <c r="G103" s="4">
        <f t="shared" si="6"/>
        <v>214493.24015015108</v>
      </c>
      <c r="H103" s="4">
        <f t="shared" si="7"/>
        <v>-199709.46378978848</v>
      </c>
    </row>
    <row r="104" spans="2:8" x14ac:dyDescent="0.35">
      <c r="B104" s="5">
        <v>12640.736106448561</v>
      </c>
      <c r="C104" s="6">
        <f t="shared" si="4"/>
        <v>300000</v>
      </c>
      <c r="D104" s="5">
        <f t="shared" si="5"/>
        <v>384851.52745139925</v>
      </c>
      <c r="F104" s="4">
        <v>5392.6511429181801</v>
      </c>
      <c r="G104" s="4">
        <f t="shared" si="6"/>
        <v>269632.557145909</v>
      </c>
      <c r="H104" s="4">
        <f t="shared" si="7"/>
        <v>-122514.41999572737</v>
      </c>
    </row>
    <row r="105" spans="2:8" x14ac:dyDescent="0.35">
      <c r="B105" s="5">
        <v>15534.348582415234</v>
      </c>
      <c r="C105" s="6">
        <f t="shared" si="4"/>
        <v>300000</v>
      </c>
      <c r="D105" s="5">
        <f t="shared" si="5"/>
        <v>550000</v>
      </c>
      <c r="F105" s="4">
        <v>6753.471480452894</v>
      </c>
      <c r="G105" s="4">
        <f t="shared" si="6"/>
        <v>300000</v>
      </c>
      <c r="H105" s="4">
        <f t="shared" si="7"/>
        <v>-80000</v>
      </c>
    </row>
    <row r="106" spans="2:8" x14ac:dyDescent="0.35">
      <c r="B106" s="5">
        <v>13005.890072328868</v>
      </c>
      <c r="C106" s="6">
        <f t="shared" si="4"/>
        <v>300000</v>
      </c>
      <c r="D106" s="5">
        <f t="shared" si="5"/>
        <v>410412.30506302079</v>
      </c>
      <c r="F106" s="4">
        <v>3788.7508774071475</v>
      </c>
      <c r="G106" s="4">
        <f t="shared" si="6"/>
        <v>189437.54387035739</v>
      </c>
      <c r="H106" s="4">
        <f t="shared" si="7"/>
        <v>-234787.43858149968</v>
      </c>
    </row>
    <row r="107" spans="2:8" x14ac:dyDescent="0.35">
      <c r="B107" s="5">
        <v>16721.976378673666</v>
      </c>
      <c r="C107" s="6">
        <f t="shared" si="4"/>
        <v>300000</v>
      </c>
      <c r="D107" s="5">
        <f t="shared" si="5"/>
        <v>550000</v>
      </c>
      <c r="F107" s="4">
        <v>6456.9841608935822</v>
      </c>
      <c r="G107" s="4">
        <f t="shared" si="6"/>
        <v>300000</v>
      </c>
      <c r="H107" s="4">
        <f t="shared" si="7"/>
        <v>-80000</v>
      </c>
    </row>
    <row r="108" spans="2:8" x14ac:dyDescent="0.35">
      <c r="B108" s="5">
        <v>15918.8818018128</v>
      </c>
      <c r="C108" s="6">
        <f t="shared" si="4"/>
        <v>300000</v>
      </c>
      <c r="D108" s="5">
        <f t="shared" si="5"/>
        <v>550000</v>
      </c>
      <c r="F108" s="4">
        <v>3249.794000061037</v>
      </c>
      <c r="G108" s="4">
        <f t="shared" si="6"/>
        <v>162489.70000305184</v>
      </c>
      <c r="H108" s="4">
        <f t="shared" si="7"/>
        <v>-272514.41999572742</v>
      </c>
    </row>
    <row r="109" spans="2:8" x14ac:dyDescent="0.35">
      <c r="B109" s="5">
        <v>13580.248420667134</v>
      </c>
      <c r="C109" s="6">
        <f t="shared" si="4"/>
        <v>300000</v>
      </c>
      <c r="D109" s="5">
        <f t="shared" si="5"/>
        <v>450617.38944669941</v>
      </c>
      <c r="F109" s="4">
        <v>7616.6875209814752</v>
      </c>
      <c r="G109" s="4">
        <f t="shared" si="6"/>
        <v>300000</v>
      </c>
      <c r="H109" s="4">
        <f t="shared" si="7"/>
        <v>-80000</v>
      </c>
    </row>
    <row r="110" spans="2:8" x14ac:dyDescent="0.35">
      <c r="B110" s="5">
        <v>13479.079561754204</v>
      </c>
      <c r="C110" s="6">
        <f t="shared" si="4"/>
        <v>300000</v>
      </c>
      <c r="D110" s="5">
        <f t="shared" si="5"/>
        <v>443535.56932279433</v>
      </c>
      <c r="F110" s="4">
        <v>5365.9474471266822</v>
      </c>
      <c r="G110" s="4">
        <f t="shared" si="6"/>
        <v>268297.37235633412</v>
      </c>
      <c r="H110" s="4">
        <f t="shared" si="7"/>
        <v>-124383.67870113224</v>
      </c>
    </row>
    <row r="111" spans="2:8" x14ac:dyDescent="0.35">
      <c r="B111" s="5">
        <v>16712.668233283486</v>
      </c>
      <c r="C111" s="6">
        <f t="shared" si="4"/>
        <v>300000</v>
      </c>
      <c r="D111" s="5">
        <f t="shared" si="5"/>
        <v>550000</v>
      </c>
      <c r="F111" s="4">
        <v>6812.9825739310891</v>
      </c>
      <c r="G111" s="4">
        <f t="shared" si="6"/>
        <v>300000</v>
      </c>
      <c r="H111" s="4">
        <f t="shared" si="7"/>
        <v>-80000</v>
      </c>
    </row>
    <row r="112" spans="2:8" x14ac:dyDescent="0.35">
      <c r="B112" s="5">
        <v>15983.581041901914</v>
      </c>
      <c r="C112" s="6">
        <f t="shared" si="4"/>
        <v>300000</v>
      </c>
      <c r="D112" s="5">
        <f t="shared" si="5"/>
        <v>550000</v>
      </c>
      <c r="F112" s="4">
        <v>4156.0411389507735</v>
      </c>
      <c r="G112" s="4">
        <f t="shared" si="6"/>
        <v>207802.05694753869</v>
      </c>
      <c r="H112" s="4">
        <f t="shared" si="7"/>
        <v>-209077.12027344585</v>
      </c>
    </row>
    <row r="113" spans="2:8" x14ac:dyDescent="0.35">
      <c r="B113" s="5">
        <v>15473.00637836848</v>
      </c>
      <c r="C113" s="6">
        <f t="shared" si="4"/>
        <v>300000</v>
      </c>
      <c r="D113" s="5">
        <f t="shared" si="5"/>
        <v>550000</v>
      </c>
      <c r="F113" s="4">
        <v>7267.4031800286875</v>
      </c>
      <c r="G113" s="4">
        <f t="shared" si="6"/>
        <v>300000</v>
      </c>
      <c r="H113" s="4">
        <f t="shared" si="7"/>
        <v>-80000</v>
      </c>
    </row>
    <row r="114" spans="2:8" x14ac:dyDescent="0.35">
      <c r="B114" s="5">
        <v>14948.54579302347</v>
      </c>
      <c r="C114" s="6">
        <f t="shared" si="4"/>
        <v>300000</v>
      </c>
      <c r="D114" s="5">
        <f t="shared" si="5"/>
        <v>546398.20551164285</v>
      </c>
      <c r="F114" s="4">
        <v>4432.5388348033084</v>
      </c>
      <c r="G114" s="4">
        <f t="shared" si="6"/>
        <v>221626.94174016541</v>
      </c>
      <c r="H114" s="4">
        <f t="shared" si="7"/>
        <v>-189722.2815637684</v>
      </c>
    </row>
    <row r="115" spans="2:8" x14ac:dyDescent="0.35">
      <c r="B115" s="5">
        <v>15637.348551896725</v>
      </c>
      <c r="C115" s="6">
        <f t="shared" si="4"/>
        <v>300000</v>
      </c>
      <c r="D115" s="5">
        <f t="shared" si="5"/>
        <v>550000</v>
      </c>
      <c r="F115" s="4">
        <v>5175.3593554490799</v>
      </c>
      <c r="G115" s="4">
        <f t="shared" si="6"/>
        <v>258767.96777245399</v>
      </c>
      <c r="H115" s="4">
        <f t="shared" si="7"/>
        <v>-137724.84511856444</v>
      </c>
    </row>
    <row r="116" spans="2:8" x14ac:dyDescent="0.35">
      <c r="B116" s="5">
        <v>14884.151738029115</v>
      </c>
      <c r="C116" s="6">
        <f t="shared" si="4"/>
        <v>300000</v>
      </c>
      <c r="D116" s="5">
        <f t="shared" si="5"/>
        <v>541890.62166203803</v>
      </c>
      <c r="F116" s="4">
        <v>3523.5450300607317</v>
      </c>
      <c r="G116" s="4">
        <f t="shared" si="6"/>
        <v>176177.25150303659</v>
      </c>
      <c r="H116" s="4">
        <f t="shared" si="7"/>
        <v>-253351.84789574877</v>
      </c>
    </row>
    <row r="117" spans="2:8" x14ac:dyDescent="0.35">
      <c r="B117" s="5">
        <v>14725.302896206549</v>
      </c>
      <c r="C117" s="6">
        <f t="shared" si="4"/>
        <v>300000</v>
      </c>
      <c r="D117" s="5">
        <f t="shared" si="5"/>
        <v>530771.20273445849</v>
      </c>
      <c r="F117" s="4">
        <v>7371.4712973418382</v>
      </c>
      <c r="G117" s="4">
        <f t="shared" si="6"/>
        <v>300000</v>
      </c>
      <c r="H117" s="4">
        <f t="shared" si="7"/>
        <v>-80000</v>
      </c>
    </row>
    <row r="118" spans="2:8" x14ac:dyDescent="0.35">
      <c r="B118" s="5">
        <v>15393.200476088748</v>
      </c>
      <c r="C118" s="6">
        <f t="shared" si="4"/>
        <v>300000</v>
      </c>
      <c r="D118" s="5">
        <f t="shared" si="5"/>
        <v>550000</v>
      </c>
      <c r="F118" s="4">
        <v>4782.7387310403756</v>
      </c>
      <c r="G118" s="4">
        <f t="shared" si="6"/>
        <v>239136.93655201877</v>
      </c>
      <c r="H118" s="4">
        <f t="shared" si="7"/>
        <v>-165208.2888271737</v>
      </c>
    </row>
    <row r="119" spans="2:8" x14ac:dyDescent="0.35">
      <c r="B119" s="5">
        <v>16505.294961394087</v>
      </c>
      <c r="C119" s="6">
        <f t="shared" si="4"/>
        <v>300000</v>
      </c>
      <c r="D119" s="5">
        <f t="shared" si="5"/>
        <v>550000</v>
      </c>
      <c r="F119" s="4">
        <v>6287.7590258491773</v>
      </c>
      <c r="G119" s="4">
        <f t="shared" si="6"/>
        <v>300000</v>
      </c>
      <c r="H119" s="4">
        <f t="shared" si="7"/>
        <v>-80000</v>
      </c>
    </row>
    <row r="120" spans="2:8" x14ac:dyDescent="0.35">
      <c r="B120" s="5">
        <v>15255.561998352001</v>
      </c>
      <c r="C120" s="6">
        <f t="shared" si="4"/>
        <v>300000</v>
      </c>
      <c r="D120" s="5">
        <f t="shared" si="5"/>
        <v>550000</v>
      </c>
      <c r="F120" s="4">
        <v>6246.5590380565809</v>
      </c>
      <c r="G120" s="4">
        <f t="shared" si="6"/>
        <v>300000</v>
      </c>
      <c r="H120" s="4">
        <f t="shared" si="7"/>
        <v>-80000</v>
      </c>
    </row>
    <row r="121" spans="2:8" x14ac:dyDescent="0.35">
      <c r="B121" s="5">
        <v>15945.127719962158</v>
      </c>
      <c r="C121" s="6">
        <f t="shared" si="4"/>
        <v>300000</v>
      </c>
      <c r="D121" s="5">
        <f t="shared" si="5"/>
        <v>550000</v>
      </c>
      <c r="F121" s="4">
        <v>3376.4458143864254</v>
      </c>
      <c r="G121" s="4">
        <f t="shared" si="6"/>
        <v>168822.29071932126</v>
      </c>
      <c r="H121" s="4">
        <f t="shared" si="7"/>
        <v>-263648.79299295018</v>
      </c>
    </row>
    <row r="122" spans="2:8" x14ac:dyDescent="0.35">
      <c r="B122" s="5">
        <v>15953.367717520676</v>
      </c>
      <c r="C122" s="6">
        <f t="shared" si="4"/>
        <v>300000</v>
      </c>
      <c r="D122" s="5">
        <f t="shared" si="5"/>
        <v>550000</v>
      </c>
      <c r="F122" s="4">
        <v>7185.3083895382551</v>
      </c>
      <c r="G122" s="4">
        <f t="shared" si="6"/>
        <v>300000</v>
      </c>
      <c r="H122" s="4">
        <f t="shared" si="7"/>
        <v>-80000</v>
      </c>
    </row>
    <row r="123" spans="2:8" x14ac:dyDescent="0.35">
      <c r="B123" s="5">
        <v>13504.867702261421</v>
      </c>
      <c r="C123" s="6">
        <f t="shared" si="4"/>
        <v>300000</v>
      </c>
      <c r="D123" s="5">
        <f t="shared" si="5"/>
        <v>445340.73915829952</v>
      </c>
      <c r="F123" s="4">
        <v>4008.4841456343274</v>
      </c>
      <c r="G123" s="4">
        <f t="shared" si="6"/>
        <v>200424.20728171637</v>
      </c>
      <c r="H123" s="4">
        <f t="shared" si="7"/>
        <v>-219406.10980559711</v>
      </c>
    </row>
    <row r="124" spans="2:8" x14ac:dyDescent="0.35">
      <c r="B124" s="5">
        <v>14203.131199072237</v>
      </c>
      <c r="C124" s="6">
        <f t="shared" si="4"/>
        <v>300000</v>
      </c>
      <c r="D124" s="5">
        <f t="shared" si="5"/>
        <v>494219.18393505656</v>
      </c>
      <c r="F124" s="4">
        <v>4754.9668874172185</v>
      </c>
      <c r="G124" s="4">
        <f t="shared" si="6"/>
        <v>237748.34437086093</v>
      </c>
      <c r="H124" s="4">
        <f t="shared" si="7"/>
        <v>-167152.3178807947</v>
      </c>
    </row>
    <row r="125" spans="2:8" x14ac:dyDescent="0.35">
      <c r="B125" s="5">
        <v>16304.635761589405</v>
      </c>
      <c r="C125" s="6">
        <f t="shared" si="4"/>
        <v>300000</v>
      </c>
      <c r="D125" s="5">
        <f t="shared" si="5"/>
        <v>550000</v>
      </c>
      <c r="F125" s="4">
        <v>3473.0368968779567</v>
      </c>
      <c r="G125" s="4">
        <f t="shared" si="6"/>
        <v>173651.84484389782</v>
      </c>
      <c r="H125" s="4">
        <f t="shared" si="7"/>
        <v>-256887.41721854304</v>
      </c>
    </row>
    <row r="126" spans="2:8" x14ac:dyDescent="0.35">
      <c r="B126" s="5">
        <v>12145.115512558366</v>
      </c>
      <c r="C126" s="6">
        <f t="shared" si="4"/>
        <v>300000</v>
      </c>
      <c r="D126" s="5">
        <f t="shared" si="5"/>
        <v>350158.0858790857</v>
      </c>
      <c r="F126" s="4">
        <v>3126.1940366832482</v>
      </c>
      <c r="G126" s="4">
        <f t="shared" si="6"/>
        <v>156309.70183416241</v>
      </c>
      <c r="H126" s="4">
        <f t="shared" si="7"/>
        <v>-281166.41743217263</v>
      </c>
    </row>
    <row r="127" spans="2:8" x14ac:dyDescent="0.35">
      <c r="B127" s="5">
        <v>16486.526078066348</v>
      </c>
      <c r="C127" s="6">
        <f t="shared" si="4"/>
        <v>300000</v>
      </c>
      <c r="D127" s="5">
        <f t="shared" si="5"/>
        <v>550000</v>
      </c>
      <c r="F127" s="4">
        <v>3207.220679342021</v>
      </c>
      <c r="G127" s="4">
        <f t="shared" si="6"/>
        <v>160361.03396710104</v>
      </c>
      <c r="H127" s="4">
        <f t="shared" si="7"/>
        <v>-275494.55244605854</v>
      </c>
    </row>
    <row r="128" spans="2:8" x14ac:dyDescent="0.35">
      <c r="B128" s="5">
        <v>15478.65230262154</v>
      </c>
      <c r="C128" s="6">
        <f t="shared" si="4"/>
        <v>300000</v>
      </c>
      <c r="D128" s="5">
        <f t="shared" si="5"/>
        <v>550000</v>
      </c>
      <c r="F128" s="4">
        <v>3955.076754051332</v>
      </c>
      <c r="G128" s="4">
        <f t="shared" si="6"/>
        <v>197753.83770256661</v>
      </c>
      <c r="H128" s="4">
        <f t="shared" si="7"/>
        <v>-223144.62721640675</v>
      </c>
    </row>
    <row r="129" spans="2:8" x14ac:dyDescent="0.35">
      <c r="B129" s="5">
        <v>12138.706625568408</v>
      </c>
      <c r="C129" s="6">
        <f t="shared" si="4"/>
        <v>300000</v>
      </c>
      <c r="D129" s="5">
        <f t="shared" si="5"/>
        <v>349709.46378978854</v>
      </c>
      <c r="F129" s="4">
        <v>6899.9603259376818</v>
      </c>
      <c r="G129" s="4">
        <f t="shared" si="6"/>
        <v>300000</v>
      </c>
      <c r="H129" s="4">
        <f t="shared" si="7"/>
        <v>-80000</v>
      </c>
    </row>
    <row r="130" spans="2:8" x14ac:dyDescent="0.35">
      <c r="B130" s="5">
        <v>14693.716238898893</v>
      </c>
      <c r="C130" s="6">
        <f t="shared" si="4"/>
        <v>300000</v>
      </c>
      <c r="D130" s="5">
        <f t="shared" si="5"/>
        <v>528560.13672292244</v>
      </c>
      <c r="F130" s="4">
        <v>5516.2511062959684</v>
      </c>
      <c r="G130" s="4">
        <f t="shared" si="6"/>
        <v>275812.55531479843</v>
      </c>
      <c r="H130" s="4">
        <f t="shared" si="7"/>
        <v>-113862.42255928222</v>
      </c>
    </row>
    <row r="131" spans="2:8" x14ac:dyDescent="0.35">
      <c r="B131" s="5">
        <v>16588.457899716177</v>
      </c>
      <c r="C131" s="6">
        <f t="shared" si="4"/>
        <v>300000</v>
      </c>
      <c r="D131" s="5">
        <f t="shared" si="5"/>
        <v>550000</v>
      </c>
      <c r="F131" s="4">
        <v>5770.3176976836457</v>
      </c>
      <c r="G131" s="4">
        <f t="shared" si="6"/>
        <v>288515.88488418231</v>
      </c>
      <c r="H131" s="4">
        <f t="shared" si="7"/>
        <v>-96077.761162144772</v>
      </c>
    </row>
    <row r="132" spans="2:8" x14ac:dyDescent="0.35">
      <c r="B132" s="5">
        <v>13228.675191503648</v>
      </c>
      <c r="C132" s="6">
        <f t="shared" si="4"/>
        <v>300000</v>
      </c>
      <c r="D132" s="5">
        <f t="shared" si="5"/>
        <v>426007.26340525527</v>
      </c>
      <c r="F132" s="4">
        <v>3834.6812341685231</v>
      </c>
      <c r="G132" s="4">
        <f t="shared" si="6"/>
        <v>191734.06170842616</v>
      </c>
      <c r="H132" s="4">
        <f t="shared" si="7"/>
        <v>-231572.31360820337</v>
      </c>
    </row>
    <row r="133" spans="2:8" x14ac:dyDescent="0.35">
      <c r="B133" s="5">
        <v>15824.732200079348</v>
      </c>
      <c r="C133" s="6">
        <f t="shared" si="4"/>
        <v>300000</v>
      </c>
      <c r="D133" s="5">
        <f t="shared" si="5"/>
        <v>550000</v>
      </c>
      <c r="F133" s="4">
        <v>4252.9374065370648</v>
      </c>
      <c r="G133" s="4">
        <f t="shared" si="6"/>
        <v>212646.87032685324</v>
      </c>
      <c r="H133" s="4">
        <f t="shared" si="7"/>
        <v>-202294.38154240546</v>
      </c>
    </row>
    <row r="134" spans="2:8" x14ac:dyDescent="0.35">
      <c r="B134" s="5">
        <v>14516.251106295967</v>
      </c>
      <c r="C134" s="6">
        <f t="shared" si="4"/>
        <v>300000</v>
      </c>
      <c r="D134" s="5">
        <f t="shared" si="5"/>
        <v>516137.57744071772</v>
      </c>
      <c r="F134" s="4">
        <v>3389.8739585558642</v>
      </c>
      <c r="G134" s="4">
        <f t="shared" si="6"/>
        <v>169493.6979277932</v>
      </c>
      <c r="H134" s="4">
        <f t="shared" si="7"/>
        <v>-262708.8229010895</v>
      </c>
    </row>
    <row r="135" spans="2:8" x14ac:dyDescent="0.35">
      <c r="B135" s="5">
        <v>14410.809656056397</v>
      </c>
      <c r="C135" s="6">
        <f t="shared" si="4"/>
        <v>300000</v>
      </c>
      <c r="D135" s="5">
        <f t="shared" si="5"/>
        <v>508756.67592394783</v>
      </c>
      <c r="F135" s="4">
        <v>4625.1106295968502</v>
      </c>
      <c r="G135" s="4">
        <f t="shared" si="6"/>
        <v>231255.53147984252</v>
      </c>
      <c r="H135" s="4">
        <f t="shared" si="7"/>
        <v>-176242.25592822046</v>
      </c>
    </row>
    <row r="136" spans="2:8" x14ac:dyDescent="0.35">
      <c r="B136" s="5">
        <v>13096.224860377819</v>
      </c>
      <c r="C136" s="6">
        <f t="shared" si="4"/>
        <v>300000</v>
      </c>
      <c r="D136" s="5">
        <f t="shared" si="5"/>
        <v>416735.74022644735</v>
      </c>
      <c r="F136" s="4">
        <v>3015.5644398327586</v>
      </c>
      <c r="G136" s="4">
        <f t="shared" si="6"/>
        <v>150778.22199163793</v>
      </c>
      <c r="H136" s="4">
        <f t="shared" si="7"/>
        <v>-288910.48921170691</v>
      </c>
    </row>
    <row r="137" spans="2:8" x14ac:dyDescent="0.35">
      <c r="B137" s="5">
        <v>15602.557451094088</v>
      </c>
      <c r="C137" s="6">
        <f t="shared" si="4"/>
        <v>300000</v>
      </c>
      <c r="D137" s="5">
        <f t="shared" si="5"/>
        <v>550000</v>
      </c>
      <c r="F137" s="4">
        <v>4951.8112735374007</v>
      </c>
      <c r="G137" s="4">
        <f t="shared" si="6"/>
        <v>247590.56367687002</v>
      </c>
      <c r="H137" s="4">
        <f t="shared" si="7"/>
        <v>-153373.21085238195</v>
      </c>
    </row>
    <row r="138" spans="2:8" x14ac:dyDescent="0.35">
      <c r="B138" s="5">
        <v>13887.417218543047</v>
      </c>
      <c r="C138" s="6">
        <f t="shared" si="4"/>
        <v>300000</v>
      </c>
      <c r="D138" s="5">
        <f t="shared" si="5"/>
        <v>472119.20529801329</v>
      </c>
      <c r="F138" s="4">
        <v>5132.1756645405439</v>
      </c>
      <c r="G138" s="4">
        <f t="shared" si="6"/>
        <v>256608.78322702719</v>
      </c>
      <c r="H138" s="4">
        <f t="shared" si="7"/>
        <v>-140747.70348216192</v>
      </c>
    </row>
    <row r="139" spans="2:8" x14ac:dyDescent="0.35">
      <c r="B139" s="5">
        <v>14645.802179021575</v>
      </c>
      <c r="C139" s="6">
        <f t="shared" si="4"/>
        <v>300000</v>
      </c>
      <c r="D139" s="5">
        <f t="shared" si="5"/>
        <v>525206.15253151022</v>
      </c>
      <c r="F139" s="4">
        <v>7188.5128330332345</v>
      </c>
      <c r="G139" s="4">
        <f t="shared" si="6"/>
        <v>300000</v>
      </c>
      <c r="H139" s="4">
        <f t="shared" si="7"/>
        <v>-80000</v>
      </c>
    </row>
    <row r="140" spans="2:8" x14ac:dyDescent="0.35">
      <c r="B140" s="5">
        <v>13956.694235053559</v>
      </c>
      <c r="C140" s="6">
        <f t="shared" ref="C140:C203" si="8">50*MIN(B140,6000)</f>
        <v>300000</v>
      </c>
      <c r="D140" s="5">
        <f t="shared" ref="D140:D203" si="9">70*MIN(B140,15000)-500000</f>
        <v>476968.59645374911</v>
      </c>
      <c r="F140" s="4">
        <v>4035.9508041627246</v>
      </c>
      <c r="G140" s="4">
        <f t="shared" ref="G140:G203" si="10">50*MIN(F140,6000)</f>
        <v>201797.54020813623</v>
      </c>
      <c r="H140" s="4">
        <f t="shared" ref="H140:H203" si="11">70*MIN(F140,6000)-500000</f>
        <v>-217483.44370860927</v>
      </c>
    </row>
    <row r="141" spans="2:8" x14ac:dyDescent="0.35">
      <c r="B141" s="5">
        <v>13490.524002807702</v>
      </c>
      <c r="C141" s="6">
        <f t="shared" si="8"/>
        <v>300000</v>
      </c>
      <c r="D141" s="5">
        <f t="shared" si="9"/>
        <v>444336.68019653915</v>
      </c>
      <c r="F141" s="4">
        <v>4520.2795495467999</v>
      </c>
      <c r="G141" s="4">
        <f t="shared" si="10"/>
        <v>226013.97747734</v>
      </c>
      <c r="H141" s="4">
        <f t="shared" si="11"/>
        <v>-183580.431531724</v>
      </c>
    </row>
    <row r="142" spans="2:8" x14ac:dyDescent="0.35">
      <c r="B142" s="5">
        <v>13317.484054078799</v>
      </c>
      <c r="C142" s="6">
        <f t="shared" si="8"/>
        <v>300000</v>
      </c>
      <c r="D142" s="5">
        <f t="shared" si="9"/>
        <v>432223.88378551591</v>
      </c>
      <c r="F142" s="4">
        <v>7260.0787377544484</v>
      </c>
      <c r="G142" s="4">
        <f t="shared" si="10"/>
        <v>300000</v>
      </c>
      <c r="H142" s="4">
        <f t="shared" si="11"/>
        <v>-80000</v>
      </c>
    </row>
    <row r="143" spans="2:8" x14ac:dyDescent="0.35">
      <c r="B143" s="5">
        <v>13568.041016876736</v>
      </c>
      <c r="C143" s="6">
        <f t="shared" si="8"/>
        <v>300000</v>
      </c>
      <c r="D143" s="5">
        <f t="shared" si="9"/>
        <v>449762.87118137151</v>
      </c>
      <c r="F143" s="4">
        <v>7143.8032166508983</v>
      </c>
      <c r="G143" s="4">
        <f t="shared" si="10"/>
        <v>300000</v>
      </c>
      <c r="H143" s="4">
        <f t="shared" si="11"/>
        <v>-80000</v>
      </c>
    </row>
    <row r="144" spans="2:8" x14ac:dyDescent="0.35">
      <c r="B144" s="5">
        <v>16071.016571550645</v>
      </c>
      <c r="C144" s="6">
        <f t="shared" si="8"/>
        <v>300000</v>
      </c>
      <c r="D144" s="5">
        <f t="shared" si="9"/>
        <v>550000</v>
      </c>
      <c r="F144" s="4">
        <v>3640.1257362590413</v>
      </c>
      <c r="G144" s="4">
        <f t="shared" si="10"/>
        <v>182006.28681295208</v>
      </c>
      <c r="H144" s="4">
        <f t="shared" si="11"/>
        <v>-245191.19846186711</v>
      </c>
    </row>
    <row r="145" spans="2:8" x14ac:dyDescent="0.35">
      <c r="B145" s="5">
        <v>13952.72682882168</v>
      </c>
      <c r="C145" s="6">
        <f t="shared" si="8"/>
        <v>300000</v>
      </c>
      <c r="D145" s="5">
        <f t="shared" si="9"/>
        <v>476690.87801751762</v>
      </c>
      <c r="F145" s="4">
        <v>6838.007751701407</v>
      </c>
      <c r="G145" s="4">
        <f t="shared" si="10"/>
        <v>300000</v>
      </c>
      <c r="H145" s="4">
        <f t="shared" si="11"/>
        <v>-80000</v>
      </c>
    </row>
    <row r="146" spans="2:8" x14ac:dyDescent="0.35">
      <c r="B146" s="5">
        <v>16174.321726126896</v>
      </c>
      <c r="C146" s="6">
        <f t="shared" si="8"/>
        <v>300000</v>
      </c>
      <c r="D146" s="5">
        <f t="shared" si="9"/>
        <v>550000</v>
      </c>
      <c r="F146" s="4">
        <v>3292.9776909695729</v>
      </c>
      <c r="G146" s="4">
        <f t="shared" si="10"/>
        <v>164648.88454847864</v>
      </c>
      <c r="H146" s="4">
        <f t="shared" si="11"/>
        <v>-269491.56163212989</v>
      </c>
    </row>
    <row r="147" spans="2:8" x14ac:dyDescent="0.35">
      <c r="B147" s="5">
        <v>13292.764061403241</v>
      </c>
      <c r="C147" s="6">
        <f t="shared" si="8"/>
        <v>300000</v>
      </c>
      <c r="D147" s="5">
        <f t="shared" si="9"/>
        <v>430493.48429822689</v>
      </c>
      <c r="F147" s="4">
        <v>5956.0228278450877</v>
      </c>
      <c r="G147" s="4">
        <f t="shared" si="10"/>
        <v>297801.14139225439</v>
      </c>
      <c r="H147" s="4">
        <f t="shared" si="11"/>
        <v>-83078.40205084387</v>
      </c>
    </row>
    <row r="148" spans="2:8" x14ac:dyDescent="0.35">
      <c r="B148" s="5">
        <v>13934.720908230842</v>
      </c>
      <c r="C148" s="6">
        <f t="shared" si="8"/>
        <v>300000</v>
      </c>
      <c r="D148" s="5">
        <f t="shared" si="9"/>
        <v>475430.46357615897</v>
      </c>
      <c r="F148" s="4">
        <v>3862.1478926969207</v>
      </c>
      <c r="G148" s="4">
        <f t="shared" si="10"/>
        <v>193107.39463484604</v>
      </c>
      <c r="H148" s="4">
        <f t="shared" si="11"/>
        <v>-229649.64751121553</v>
      </c>
    </row>
    <row r="149" spans="2:8" x14ac:dyDescent="0.35">
      <c r="B149" s="5">
        <v>13474.959562974944</v>
      </c>
      <c r="C149" s="6">
        <f t="shared" si="8"/>
        <v>300000</v>
      </c>
      <c r="D149" s="5">
        <f t="shared" si="9"/>
        <v>443247.16940824606</v>
      </c>
      <c r="F149" s="4">
        <v>4018.7078463087864</v>
      </c>
      <c r="G149" s="4">
        <f t="shared" si="10"/>
        <v>200935.39231543933</v>
      </c>
      <c r="H149" s="4">
        <f t="shared" si="11"/>
        <v>-218690.45075838495</v>
      </c>
    </row>
    <row r="150" spans="2:8" x14ac:dyDescent="0.35">
      <c r="B150" s="5">
        <v>15581.04190191351</v>
      </c>
      <c r="C150" s="6">
        <f t="shared" si="8"/>
        <v>300000</v>
      </c>
      <c r="D150" s="5">
        <f t="shared" si="9"/>
        <v>550000</v>
      </c>
      <c r="F150" s="4">
        <v>4743.0646687215794</v>
      </c>
      <c r="G150" s="4">
        <f t="shared" si="10"/>
        <v>237153.23343607897</v>
      </c>
      <c r="H150" s="4">
        <f t="shared" si="11"/>
        <v>-167985.47318948945</v>
      </c>
    </row>
    <row r="151" spans="2:8" x14ac:dyDescent="0.35">
      <c r="B151" s="5">
        <v>14208.929715872677</v>
      </c>
      <c r="C151" s="6">
        <f t="shared" si="8"/>
        <v>300000</v>
      </c>
      <c r="D151" s="5">
        <f t="shared" si="9"/>
        <v>494625.08011108742</v>
      </c>
      <c r="F151" s="4">
        <v>3027.9244361705373</v>
      </c>
      <c r="G151" s="4">
        <f t="shared" si="10"/>
        <v>151396.22180852687</v>
      </c>
      <c r="H151" s="4">
        <f t="shared" si="11"/>
        <v>-288045.2894680624</v>
      </c>
    </row>
    <row r="152" spans="2:8" x14ac:dyDescent="0.35">
      <c r="B152" s="5">
        <v>14607.196264534439</v>
      </c>
      <c r="C152" s="6">
        <f t="shared" si="8"/>
        <v>300000</v>
      </c>
      <c r="D152" s="5">
        <f t="shared" si="9"/>
        <v>522503.7385174107</v>
      </c>
      <c r="F152" s="4">
        <v>7179.0520950956752</v>
      </c>
      <c r="G152" s="4">
        <f t="shared" si="10"/>
        <v>300000</v>
      </c>
      <c r="H152" s="4">
        <f t="shared" si="11"/>
        <v>-80000</v>
      </c>
    </row>
    <row r="153" spans="2:8" x14ac:dyDescent="0.35">
      <c r="B153" s="5">
        <v>13704.916531876583</v>
      </c>
      <c r="C153" s="6">
        <f t="shared" si="8"/>
        <v>300000</v>
      </c>
      <c r="D153" s="5">
        <f t="shared" si="9"/>
        <v>459344.15723136079</v>
      </c>
      <c r="F153" s="4">
        <v>4073.3359782708212</v>
      </c>
      <c r="G153" s="4">
        <f t="shared" si="10"/>
        <v>203666.79891354108</v>
      </c>
      <c r="H153" s="4">
        <f t="shared" si="11"/>
        <v>-214866.48152104253</v>
      </c>
    </row>
    <row r="154" spans="2:8" x14ac:dyDescent="0.35">
      <c r="B154" s="5">
        <v>15620.563371684926</v>
      </c>
      <c r="C154" s="6">
        <f t="shared" si="8"/>
        <v>300000</v>
      </c>
      <c r="D154" s="5">
        <f t="shared" si="9"/>
        <v>550000</v>
      </c>
      <c r="F154" s="4">
        <v>3753.3494064149909</v>
      </c>
      <c r="G154" s="4">
        <f t="shared" si="10"/>
        <v>187667.47032074953</v>
      </c>
      <c r="H154" s="4">
        <f t="shared" si="11"/>
        <v>-237265.54155095061</v>
      </c>
    </row>
    <row r="155" spans="2:8" x14ac:dyDescent="0.35">
      <c r="B155" s="5">
        <v>14490.76815088351</v>
      </c>
      <c r="C155" s="6">
        <f t="shared" si="8"/>
        <v>300000</v>
      </c>
      <c r="D155" s="5">
        <f t="shared" si="9"/>
        <v>514353.77056184574</v>
      </c>
      <c r="F155" s="4">
        <v>5906.4302499465921</v>
      </c>
      <c r="G155" s="4">
        <f t="shared" si="10"/>
        <v>295321.51249732962</v>
      </c>
      <c r="H155" s="4">
        <f t="shared" si="11"/>
        <v>-86549.882503738569</v>
      </c>
    </row>
    <row r="156" spans="2:8" x14ac:dyDescent="0.35">
      <c r="B156" s="5">
        <v>14798.394726401562</v>
      </c>
      <c r="C156" s="6">
        <f t="shared" si="8"/>
        <v>300000</v>
      </c>
      <c r="D156" s="5">
        <f t="shared" si="9"/>
        <v>535887.63084810937</v>
      </c>
      <c r="F156" s="4">
        <v>6519.3945127719962</v>
      </c>
      <c r="G156" s="4">
        <f t="shared" si="10"/>
        <v>300000</v>
      </c>
      <c r="H156" s="4">
        <f t="shared" si="11"/>
        <v>-80000</v>
      </c>
    </row>
    <row r="157" spans="2:8" x14ac:dyDescent="0.35">
      <c r="B157" s="5">
        <v>13313.211462752159</v>
      </c>
      <c r="C157" s="6">
        <f t="shared" si="8"/>
        <v>300000</v>
      </c>
      <c r="D157" s="5">
        <f t="shared" si="9"/>
        <v>431924.80239265109</v>
      </c>
      <c r="F157" s="4">
        <v>4009.0945158238474</v>
      </c>
      <c r="G157" s="4">
        <f t="shared" si="10"/>
        <v>200454.72579119238</v>
      </c>
      <c r="H157" s="4">
        <f t="shared" si="11"/>
        <v>-219363.38389233069</v>
      </c>
    </row>
    <row r="158" spans="2:8" x14ac:dyDescent="0.35">
      <c r="B158" s="5">
        <v>16376.964629047518</v>
      </c>
      <c r="C158" s="6">
        <f t="shared" si="8"/>
        <v>300000</v>
      </c>
      <c r="D158" s="5">
        <f t="shared" si="9"/>
        <v>550000</v>
      </c>
      <c r="F158" s="4">
        <v>4420.7892086550492</v>
      </c>
      <c r="G158" s="4">
        <f t="shared" si="10"/>
        <v>221039.46043275244</v>
      </c>
      <c r="H158" s="4">
        <f t="shared" si="11"/>
        <v>-190544.75539414654</v>
      </c>
    </row>
    <row r="159" spans="2:8" x14ac:dyDescent="0.35">
      <c r="B159" s="5">
        <v>13096.377452925199</v>
      </c>
      <c r="C159" s="6">
        <f t="shared" si="8"/>
        <v>300000</v>
      </c>
      <c r="D159" s="5">
        <f t="shared" si="9"/>
        <v>416746.4217047639</v>
      </c>
      <c r="F159" s="4">
        <v>4442.7625354777674</v>
      </c>
      <c r="G159" s="4">
        <f t="shared" si="10"/>
        <v>222138.12677388836</v>
      </c>
      <c r="H159" s="4">
        <f t="shared" si="11"/>
        <v>-189006.62251655629</v>
      </c>
    </row>
    <row r="160" spans="2:8" x14ac:dyDescent="0.35">
      <c r="B160" s="5">
        <v>12498.672444837794</v>
      </c>
      <c r="C160" s="6">
        <f t="shared" si="8"/>
        <v>300000</v>
      </c>
      <c r="D160" s="5">
        <f t="shared" si="9"/>
        <v>374907.07113864552</v>
      </c>
      <c r="F160" s="4">
        <v>3405.8961760307625</v>
      </c>
      <c r="G160" s="4">
        <f t="shared" si="10"/>
        <v>170294.80880153814</v>
      </c>
      <c r="H160" s="4">
        <f t="shared" si="11"/>
        <v>-261587.26767784663</v>
      </c>
    </row>
    <row r="161" spans="2:8" x14ac:dyDescent="0.35">
      <c r="B161" s="5">
        <v>16231.39133884701</v>
      </c>
      <c r="C161" s="6">
        <f t="shared" si="8"/>
        <v>300000</v>
      </c>
      <c r="D161" s="5">
        <f t="shared" si="9"/>
        <v>550000</v>
      </c>
      <c r="F161" s="4">
        <v>3528.1228064821316</v>
      </c>
      <c r="G161" s="4">
        <f t="shared" si="10"/>
        <v>176406.14032410659</v>
      </c>
      <c r="H161" s="4">
        <f t="shared" si="11"/>
        <v>-253031.40354625077</v>
      </c>
    </row>
    <row r="162" spans="2:8" x14ac:dyDescent="0.35">
      <c r="B162" s="5">
        <v>14847.529526657918</v>
      </c>
      <c r="C162" s="6">
        <f t="shared" si="8"/>
        <v>300000</v>
      </c>
      <c r="D162" s="5">
        <f t="shared" si="9"/>
        <v>539327.0668660542</v>
      </c>
      <c r="F162" s="4">
        <v>7329.3557542649614</v>
      </c>
      <c r="G162" s="4">
        <f t="shared" si="10"/>
        <v>300000</v>
      </c>
      <c r="H162" s="4">
        <f t="shared" si="11"/>
        <v>-80000</v>
      </c>
    </row>
    <row r="163" spans="2:8" x14ac:dyDescent="0.35">
      <c r="B163" s="5">
        <v>15160.039063692129</v>
      </c>
      <c r="C163" s="6">
        <f t="shared" si="8"/>
        <v>300000</v>
      </c>
      <c r="D163" s="5">
        <f t="shared" si="9"/>
        <v>550000</v>
      </c>
      <c r="F163" s="4">
        <v>5315.1341288491476</v>
      </c>
      <c r="G163" s="4">
        <f t="shared" si="10"/>
        <v>265756.70644245739</v>
      </c>
      <c r="H163" s="4">
        <f t="shared" si="11"/>
        <v>-127940.61098055966</v>
      </c>
    </row>
    <row r="164" spans="2:8" x14ac:dyDescent="0.35">
      <c r="B164" s="5">
        <v>16430.524613177891</v>
      </c>
      <c r="C164" s="6">
        <f t="shared" si="8"/>
        <v>300000</v>
      </c>
      <c r="D164" s="5">
        <f t="shared" si="9"/>
        <v>550000</v>
      </c>
      <c r="F164" s="4">
        <v>5014.2216254158147</v>
      </c>
      <c r="G164" s="4">
        <f t="shared" si="10"/>
        <v>250711.08127079075</v>
      </c>
      <c r="H164" s="4">
        <f t="shared" si="11"/>
        <v>-149004.48622089298</v>
      </c>
    </row>
    <row r="165" spans="2:8" x14ac:dyDescent="0.35">
      <c r="B165" s="5">
        <v>16422.742393261513</v>
      </c>
      <c r="C165" s="6">
        <f t="shared" si="8"/>
        <v>300000</v>
      </c>
      <c r="D165" s="5">
        <f t="shared" si="9"/>
        <v>550000</v>
      </c>
      <c r="F165" s="4">
        <v>6975.6462294381545</v>
      </c>
      <c r="G165" s="4">
        <f t="shared" si="10"/>
        <v>300000</v>
      </c>
      <c r="H165" s="4">
        <f t="shared" si="11"/>
        <v>-80000</v>
      </c>
    </row>
    <row r="166" spans="2:8" x14ac:dyDescent="0.35">
      <c r="B166" s="5">
        <v>16254.12762840663</v>
      </c>
      <c r="C166" s="6">
        <f t="shared" si="8"/>
        <v>300000</v>
      </c>
      <c r="D166" s="5">
        <f t="shared" si="9"/>
        <v>550000</v>
      </c>
      <c r="F166" s="4">
        <v>4328.6233100375375</v>
      </c>
      <c r="G166" s="4">
        <f t="shared" si="10"/>
        <v>216431.16550187688</v>
      </c>
      <c r="H166" s="4">
        <f t="shared" si="11"/>
        <v>-196996.36829737236</v>
      </c>
    </row>
    <row r="167" spans="2:8" x14ac:dyDescent="0.35">
      <c r="B167" s="5">
        <v>16180.883205664235</v>
      </c>
      <c r="C167" s="6">
        <f t="shared" si="8"/>
        <v>300000</v>
      </c>
      <c r="D167" s="5">
        <f t="shared" si="9"/>
        <v>550000</v>
      </c>
      <c r="F167" s="4">
        <v>5817.4687948240608</v>
      </c>
      <c r="G167" s="4">
        <f t="shared" si="10"/>
        <v>290873.43974120304</v>
      </c>
      <c r="H167" s="4">
        <f t="shared" si="11"/>
        <v>-92777.184362315747</v>
      </c>
    </row>
    <row r="168" spans="2:8" x14ac:dyDescent="0.35">
      <c r="B168" s="5">
        <v>14101.809747611926</v>
      </c>
      <c r="C168" s="6">
        <f t="shared" si="8"/>
        <v>300000</v>
      </c>
      <c r="D168" s="5">
        <f t="shared" si="9"/>
        <v>487126.68233283481</v>
      </c>
      <c r="F168" s="4">
        <v>3428.4798730430007</v>
      </c>
      <c r="G168" s="4">
        <f t="shared" si="10"/>
        <v>171423.99365215003</v>
      </c>
      <c r="H168" s="4">
        <f t="shared" si="11"/>
        <v>-260006.40888698996</v>
      </c>
    </row>
    <row r="169" spans="2:8" x14ac:dyDescent="0.35">
      <c r="B169" s="5">
        <v>16842.982268745996</v>
      </c>
      <c r="C169" s="6">
        <f t="shared" si="8"/>
        <v>300000</v>
      </c>
      <c r="D169" s="5">
        <f t="shared" si="9"/>
        <v>550000</v>
      </c>
      <c r="F169" s="4">
        <v>3696.4323862422561</v>
      </c>
      <c r="G169" s="4">
        <f t="shared" si="10"/>
        <v>184821.6193121128</v>
      </c>
      <c r="H169" s="4">
        <f t="shared" si="11"/>
        <v>-241249.73296304207</v>
      </c>
    </row>
    <row r="170" spans="2:8" x14ac:dyDescent="0.35">
      <c r="B170" s="5">
        <v>12786.156804101687</v>
      </c>
      <c r="C170" s="6">
        <f t="shared" si="8"/>
        <v>300000</v>
      </c>
      <c r="D170" s="5">
        <f t="shared" si="9"/>
        <v>395030.97628711816</v>
      </c>
      <c r="F170" s="4">
        <v>3088.808862575152</v>
      </c>
      <c r="G170" s="4">
        <f t="shared" si="10"/>
        <v>154440.44312875762</v>
      </c>
      <c r="H170" s="4">
        <f t="shared" si="11"/>
        <v>-283783.37961973937</v>
      </c>
    </row>
    <row r="171" spans="2:8" x14ac:dyDescent="0.35">
      <c r="B171" s="5">
        <v>13918.546098208564</v>
      </c>
      <c r="C171" s="6">
        <f t="shared" si="8"/>
        <v>300000</v>
      </c>
      <c r="D171" s="5">
        <f t="shared" si="9"/>
        <v>474298.22687459947</v>
      </c>
      <c r="F171" s="4">
        <v>3324.2591631824703</v>
      </c>
      <c r="G171" s="4">
        <f t="shared" si="10"/>
        <v>166212.95815912352</v>
      </c>
      <c r="H171" s="4">
        <f t="shared" si="11"/>
        <v>-267301.8585772271</v>
      </c>
    </row>
    <row r="172" spans="2:8" x14ac:dyDescent="0.35">
      <c r="B172" s="5">
        <v>16747.154148991365</v>
      </c>
      <c r="C172" s="6">
        <f t="shared" si="8"/>
        <v>300000</v>
      </c>
      <c r="D172" s="5">
        <f t="shared" si="9"/>
        <v>550000</v>
      </c>
      <c r="F172" s="4">
        <v>7876.4000366222117</v>
      </c>
      <c r="G172" s="4">
        <f t="shared" si="10"/>
        <v>300000</v>
      </c>
      <c r="H172" s="4">
        <f t="shared" si="11"/>
        <v>-80000</v>
      </c>
    </row>
    <row r="173" spans="2:8" x14ac:dyDescent="0.35">
      <c r="B173" s="5">
        <v>12746.787926877651</v>
      </c>
      <c r="C173" s="6">
        <f t="shared" si="8"/>
        <v>300000</v>
      </c>
      <c r="D173" s="5">
        <f t="shared" si="9"/>
        <v>392275.15488143556</v>
      </c>
      <c r="F173" s="4">
        <v>4458.1743827631453</v>
      </c>
      <c r="G173" s="4">
        <f t="shared" si="10"/>
        <v>222908.71913815726</v>
      </c>
      <c r="H173" s="4">
        <f t="shared" si="11"/>
        <v>-187927.79320657981</v>
      </c>
    </row>
    <row r="174" spans="2:8" x14ac:dyDescent="0.35">
      <c r="B174" s="5">
        <v>14307.351908932767</v>
      </c>
      <c r="C174" s="6">
        <f t="shared" si="8"/>
        <v>300000</v>
      </c>
      <c r="D174" s="5">
        <f t="shared" si="9"/>
        <v>501514.63362529373</v>
      </c>
      <c r="F174" s="4">
        <v>3459.6087527085178</v>
      </c>
      <c r="G174" s="4">
        <f t="shared" si="10"/>
        <v>172980.43763542589</v>
      </c>
      <c r="H174" s="4">
        <f t="shared" si="11"/>
        <v>-257827.38731040375</v>
      </c>
    </row>
    <row r="175" spans="2:8" x14ac:dyDescent="0.35">
      <c r="B175" s="5">
        <v>14400.585955381939</v>
      </c>
      <c r="C175" s="6">
        <f t="shared" si="8"/>
        <v>300000</v>
      </c>
      <c r="D175" s="5">
        <f t="shared" si="9"/>
        <v>508041.01687673572</v>
      </c>
      <c r="F175" s="4">
        <v>4333.0484939115577</v>
      </c>
      <c r="G175" s="4">
        <f t="shared" si="10"/>
        <v>216652.42469557788</v>
      </c>
      <c r="H175" s="4">
        <f t="shared" si="11"/>
        <v>-196686.60542619094</v>
      </c>
    </row>
    <row r="176" spans="2:8" x14ac:dyDescent="0.35">
      <c r="B176" s="5">
        <v>16932.096316415907</v>
      </c>
      <c r="C176" s="6">
        <f t="shared" si="8"/>
        <v>300000</v>
      </c>
      <c r="D176" s="5">
        <f t="shared" si="9"/>
        <v>550000</v>
      </c>
      <c r="F176" s="4">
        <v>3222.7851191747795</v>
      </c>
      <c r="G176" s="4">
        <f t="shared" si="10"/>
        <v>161139.25595873897</v>
      </c>
      <c r="H176" s="4">
        <f t="shared" si="11"/>
        <v>-274405.0416577654</v>
      </c>
    </row>
    <row r="177" spans="2:8" x14ac:dyDescent="0.35">
      <c r="B177" s="5">
        <v>16996.032593768119</v>
      </c>
      <c r="C177" s="6">
        <f t="shared" si="8"/>
        <v>300000</v>
      </c>
      <c r="D177" s="5">
        <f t="shared" si="9"/>
        <v>550000</v>
      </c>
      <c r="F177" s="4">
        <v>4091.1893063142797</v>
      </c>
      <c r="G177" s="4">
        <f t="shared" si="10"/>
        <v>204559.46531571398</v>
      </c>
      <c r="H177" s="4">
        <f t="shared" si="11"/>
        <v>-213616.74855800043</v>
      </c>
    </row>
    <row r="178" spans="2:8" x14ac:dyDescent="0.35">
      <c r="B178" s="5">
        <v>13055.482650227363</v>
      </c>
      <c r="C178" s="6">
        <f t="shared" si="8"/>
        <v>300000</v>
      </c>
      <c r="D178" s="5">
        <f t="shared" si="9"/>
        <v>413883.78551591537</v>
      </c>
      <c r="F178" s="4">
        <v>5169.5608386486401</v>
      </c>
      <c r="G178" s="4">
        <f t="shared" si="10"/>
        <v>258478.04193243201</v>
      </c>
      <c r="H178" s="4">
        <f t="shared" si="11"/>
        <v>-138130.74129459518</v>
      </c>
    </row>
    <row r="179" spans="2:8" x14ac:dyDescent="0.35">
      <c r="B179" s="5">
        <v>15944.975127414777</v>
      </c>
      <c r="C179" s="6">
        <f t="shared" si="8"/>
        <v>300000</v>
      </c>
      <c r="D179" s="5">
        <f t="shared" si="9"/>
        <v>550000</v>
      </c>
      <c r="F179" s="4">
        <v>4494.7965941343427</v>
      </c>
      <c r="G179" s="4">
        <f t="shared" si="10"/>
        <v>224739.82970671714</v>
      </c>
      <c r="H179" s="4">
        <f t="shared" si="11"/>
        <v>-185364.23841059604</v>
      </c>
    </row>
    <row r="180" spans="2:8" x14ac:dyDescent="0.35">
      <c r="B180" s="5">
        <v>12106.96737571337</v>
      </c>
      <c r="C180" s="6">
        <f t="shared" si="8"/>
        <v>300000</v>
      </c>
      <c r="D180" s="5">
        <f t="shared" si="9"/>
        <v>347487.71629993583</v>
      </c>
      <c r="F180" s="4">
        <v>5506.0274056215094</v>
      </c>
      <c r="G180" s="4">
        <f t="shared" si="10"/>
        <v>275301.37028107548</v>
      </c>
      <c r="H180" s="4">
        <f t="shared" si="11"/>
        <v>-114578.08160649432</v>
      </c>
    </row>
    <row r="181" spans="2:8" x14ac:dyDescent="0.35">
      <c r="B181" s="5">
        <v>12525.376140629292</v>
      </c>
      <c r="C181" s="6">
        <f t="shared" si="8"/>
        <v>300000</v>
      </c>
      <c r="D181" s="5">
        <f t="shared" si="9"/>
        <v>376776.32984405046</v>
      </c>
      <c r="F181" s="4">
        <v>3009.7659230323193</v>
      </c>
      <c r="G181" s="4">
        <f t="shared" si="10"/>
        <v>150488.29615161597</v>
      </c>
      <c r="H181" s="4">
        <f t="shared" si="11"/>
        <v>-289316.38538773765</v>
      </c>
    </row>
    <row r="182" spans="2:8" x14ac:dyDescent="0.35">
      <c r="B182" s="5">
        <v>16868.465224158452</v>
      </c>
      <c r="C182" s="6">
        <f t="shared" si="8"/>
        <v>300000</v>
      </c>
      <c r="D182" s="5">
        <f t="shared" si="9"/>
        <v>550000</v>
      </c>
      <c r="F182" s="4">
        <v>3893.2767723624379</v>
      </c>
      <c r="G182" s="4">
        <f t="shared" si="10"/>
        <v>194663.8386181219</v>
      </c>
      <c r="H182" s="4">
        <f t="shared" si="11"/>
        <v>-227470.62593462935</v>
      </c>
    </row>
    <row r="183" spans="2:8" x14ac:dyDescent="0.35">
      <c r="B183" s="5">
        <v>12608.844264046144</v>
      </c>
      <c r="C183" s="6">
        <f t="shared" si="8"/>
        <v>300000</v>
      </c>
      <c r="D183" s="5">
        <f t="shared" si="9"/>
        <v>382619.09848322999</v>
      </c>
      <c r="F183" s="4">
        <v>3535.9050263985109</v>
      </c>
      <c r="G183" s="4">
        <f t="shared" si="10"/>
        <v>176795.25131992553</v>
      </c>
      <c r="H183" s="4">
        <f t="shared" si="11"/>
        <v>-252486.64815210423</v>
      </c>
    </row>
    <row r="184" spans="2:8" x14ac:dyDescent="0.35">
      <c r="B184" s="5">
        <v>14887.813959166235</v>
      </c>
      <c r="C184" s="6">
        <f t="shared" si="8"/>
        <v>300000</v>
      </c>
      <c r="D184" s="5">
        <f t="shared" si="9"/>
        <v>542146.97714163642</v>
      </c>
      <c r="F184" s="4">
        <v>7794.1526535843986</v>
      </c>
      <c r="G184" s="4">
        <f t="shared" si="10"/>
        <v>300000</v>
      </c>
      <c r="H184" s="4">
        <f t="shared" si="11"/>
        <v>-80000</v>
      </c>
    </row>
    <row r="185" spans="2:8" x14ac:dyDescent="0.35">
      <c r="B185" s="5">
        <v>14624.744407483138</v>
      </c>
      <c r="C185" s="6">
        <f t="shared" si="8"/>
        <v>300000</v>
      </c>
      <c r="D185" s="5">
        <f t="shared" si="9"/>
        <v>523732.10852381971</v>
      </c>
      <c r="F185" s="4">
        <v>7763.3289590136419</v>
      </c>
      <c r="G185" s="4">
        <f t="shared" si="10"/>
        <v>300000</v>
      </c>
      <c r="H185" s="4">
        <f t="shared" si="11"/>
        <v>-80000</v>
      </c>
    </row>
    <row r="186" spans="2:8" x14ac:dyDescent="0.35">
      <c r="B186" s="5">
        <v>12966.06341746269</v>
      </c>
      <c r="C186" s="6">
        <f t="shared" si="8"/>
        <v>300000</v>
      </c>
      <c r="D186" s="5">
        <f t="shared" si="9"/>
        <v>407624.43922238832</v>
      </c>
      <c r="F186" s="4">
        <v>5219.1534165471357</v>
      </c>
      <c r="G186" s="4">
        <f t="shared" si="10"/>
        <v>260957.67082735678</v>
      </c>
      <c r="H186" s="4">
        <f t="shared" si="11"/>
        <v>-134659.26084170048</v>
      </c>
    </row>
    <row r="187" spans="2:8" x14ac:dyDescent="0.35">
      <c r="B187" s="5">
        <v>15966.643269142734</v>
      </c>
      <c r="C187" s="6">
        <f t="shared" si="8"/>
        <v>300000</v>
      </c>
      <c r="D187" s="5">
        <f t="shared" si="9"/>
        <v>550000</v>
      </c>
      <c r="F187" s="4">
        <v>6480.7885982848602</v>
      </c>
      <c r="G187" s="4">
        <f t="shared" si="10"/>
        <v>300000</v>
      </c>
      <c r="H187" s="4">
        <f t="shared" si="11"/>
        <v>-80000</v>
      </c>
    </row>
    <row r="188" spans="2:8" x14ac:dyDescent="0.35">
      <c r="B188" s="5">
        <v>13347.392193365276</v>
      </c>
      <c r="C188" s="6">
        <f t="shared" si="8"/>
        <v>300000</v>
      </c>
      <c r="D188" s="5">
        <f t="shared" si="9"/>
        <v>434317.45353556937</v>
      </c>
      <c r="F188" s="4">
        <v>7146.855067598498</v>
      </c>
      <c r="G188" s="4">
        <f t="shared" si="10"/>
        <v>300000</v>
      </c>
      <c r="H188" s="4">
        <f t="shared" si="11"/>
        <v>-80000</v>
      </c>
    </row>
    <row r="189" spans="2:8" x14ac:dyDescent="0.35">
      <c r="B189" s="5">
        <v>13189.001129184851</v>
      </c>
      <c r="C189" s="6">
        <f t="shared" si="8"/>
        <v>300000</v>
      </c>
      <c r="D189" s="5">
        <f t="shared" si="9"/>
        <v>423230.07904293959</v>
      </c>
      <c r="F189" s="4">
        <v>3278.1762138737145</v>
      </c>
      <c r="G189" s="4">
        <f t="shared" si="10"/>
        <v>163908.81069368572</v>
      </c>
      <c r="H189" s="4">
        <f t="shared" si="11"/>
        <v>-270527.66502883995</v>
      </c>
    </row>
    <row r="190" spans="2:8" x14ac:dyDescent="0.35">
      <c r="B190" s="5">
        <v>16821.924497207558</v>
      </c>
      <c r="C190" s="6">
        <f t="shared" si="8"/>
        <v>300000</v>
      </c>
      <c r="D190" s="5">
        <f t="shared" si="9"/>
        <v>550000</v>
      </c>
      <c r="F190" s="4">
        <v>3549.4857631153295</v>
      </c>
      <c r="G190" s="4">
        <f t="shared" si="10"/>
        <v>177474.28815576647</v>
      </c>
      <c r="H190" s="4">
        <f t="shared" si="11"/>
        <v>-251535.99658192694</v>
      </c>
    </row>
    <row r="191" spans="2:8" x14ac:dyDescent="0.35">
      <c r="B191" s="5">
        <v>16623.706778160955</v>
      </c>
      <c r="C191" s="6">
        <f t="shared" si="8"/>
        <v>300000</v>
      </c>
      <c r="D191" s="5">
        <f t="shared" si="9"/>
        <v>550000</v>
      </c>
      <c r="F191" s="4">
        <v>5076.4793847468491</v>
      </c>
      <c r="G191" s="4">
        <f t="shared" si="10"/>
        <v>253823.96923734245</v>
      </c>
      <c r="H191" s="4">
        <f t="shared" si="11"/>
        <v>-144646.44306772057</v>
      </c>
    </row>
    <row r="192" spans="2:8" x14ac:dyDescent="0.35">
      <c r="B192" s="5">
        <v>12097.354045228431</v>
      </c>
      <c r="C192" s="6">
        <f t="shared" si="8"/>
        <v>300000</v>
      </c>
      <c r="D192" s="5">
        <f t="shared" si="9"/>
        <v>346814.78316599014</v>
      </c>
      <c r="F192" s="4">
        <v>5961.3635670033873</v>
      </c>
      <c r="G192" s="4">
        <f t="shared" si="10"/>
        <v>298068.17835016939</v>
      </c>
      <c r="H192" s="4">
        <f t="shared" si="11"/>
        <v>-82704.550309762883</v>
      </c>
    </row>
    <row r="193" spans="2:8" x14ac:dyDescent="0.35">
      <c r="B193" s="5">
        <v>12598.010193182165</v>
      </c>
      <c r="C193" s="6">
        <f t="shared" si="8"/>
        <v>300000</v>
      </c>
      <c r="D193" s="5">
        <f t="shared" si="9"/>
        <v>381860.71352275147</v>
      </c>
      <c r="F193" s="4">
        <v>6946.3484603411971</v>
      </c>
      <c r="G193" s="4">
        <f t="shared" si="10"/>
        <v>300000</v>
      </c>
      <c r="H193" s="4">
        <f t="shared" si="11"/>
        <v>-80000</v>
      </c>
    </row>
    <row r="194" spans="2:8" x14ac:dyDescent="0.35">
      <c r="B194" s="5">
        <v>13149.937437055574</v>
      </c>
      <c r="C194" s="6">
        <f t="shared" si="8"/>
        <v>300000</v>
      </c>
      <c r="D194" s="5">
        <f t="shared" si="9"/>
        <v>420495.6205938902</v>
      </c>
      <c r="F194" s="4">
        <v>5462.2333445234535</v>
      </c>
      <c r="G194" s="4">
        <f t="shared" si="10"/>
        <v>273111.66722617269</v>
      </c>
      <c r="H194" s="4">
        <f t="shared" si="11"/>
        <v>-117643.66588335828</v>
      </c>
    </row>
    <row r="195" spans="2:8" x14ac:dyDescent="0.35">
      <c r="B195" s="5">
        <v>14373.424481948301</v>
      </c>
      <c r="C195" s="6">
        <f t="shared" si="8"/>
        <v>300000</v>
      </c>
      <c r="D195" s="5">
        <f t="shared" si="9"/>
        <v>506139.71373638103</v>
      </c>
      <c r="F195" s="4">
        <v>5831.6599017303997</v>
      </c>
      <c r="G195" s="4">
        <f t="shared" si="10"/>
        <v>291582.99508651998</v>
      </c>
      <c r="H195" s="4">
        <f t="shared" si="11"/>
        <v>-91783.806878872041</v>
      </c>
    </row>
    <row r="196" spans="2:8" x14ac:dyDescent="0.35">
      <c r="B196" s="5">
        <v>12443.433942686239</v>
      </c>
      <c r="C196" s="6">
        <f t="shared" si="8"/>
        <v>300000</v>
      </c>
      <c r="D196" s="5">
        <f t="shared" si="9"/>
        <v>371040.37598803674</v>
      </c>
      <c r="F196" s="4">
        <v>3483.7183751945554</v>
      </c>
      <c r="G196" s="4">
        <f t="shared" si="10"/>
        <v>174185.91875972776</v>
      </c>
      <c r="H196" s="4">
        <f t="shared" si="11"/>
        <v>-256139.71373638112</v>
      </c>
    </row>
    <row r="197" spans="2:8" x14ac:dyDescent="0.35">
      <c r="B197" s="5">
        <v>14377.697073274941</v>
      </c>
      <c r="C197" s="6">
        <f t="shared" si="8"/>
        <v>300000</v>
      </c>
      <c r="D197" s="5">
        <f t="shared" si="9"/>
        <v>506438.79512924585</v>
      </c>
      <c r="F197" s="4">
        <v>7213.2328257087929</v>
      </c>
      <c r="G197" s="4">
        <f t="shared" si="10"/>
        <v>300000</v>
      </c>
      <c r="H197" s="4">
        <f t="shared" si="11"/>
        <v>-80000</v>
      </c>
    </row>
    <row r="198" spans="2:8" x14ac:dyDescent="0.35">
      <c r="B198" s="5">
        <v>13547.441022980438</v>
      </c>
      <c r="C198" s="6">
        <f t="shared" si="8"/>
        <v>300000</v>
      </c>
      <c r="D198" s="5">
        <f t="shared" si="9"/>
        <v>448320.87160863064</v>
      </c>
      <c r="F198" s="4">
        <v>4567.888424329356</v>
      </c>
      <c r="G198" s="4">
        <f t="shared" si="10"/>
        <v>228394.4212164678</v>
      </c>
      <c r="H198" s="4">
        <f t="shared" si="11"/>
        <v>-180247.8102969451</v>
      </c>
    </row>
    <row r="199" spans="2:8" x14ac:dyDescent="0.35">
      <c r="B199" s="5">
        <v>13403.241065706352</v>
      </c>
      <c r="C199" s="6">
        <f t="shared" si="8"/>
        <v>300000</v>
      </c>
      <c r="D199" s="5">
        <f t="shared" si="9"/>
        <v>438226.87459944468</v>
      </c>
      <c r="F199" s="4">
        <v>3571.3064973906676</v>
      </c>
      <c r="G199" s="4">
        <f t="shared" si="10"/>
        <v>178565.32486953339</v>
      </c>
      <c r="H199" s="4">
        <f t="shared" si="11"/>
        <v>-250008.54518265327</v>
      </c>
    </row>
    <row r="200" spans="2:8" x14ac:dyDescent="0.35">
      <c r="B200" s="5">
        <v>12392.010254219183</v>
      </c>
      <c r="C200" s="6">
        <f t="shared" si="8"/>
        <v>300000</v>
      </c>
      <c r="D200" s="5">
        <f t="shared" si="9"/>
        <v>367440.71779534279</v>
      </c>
      <c r="F200" s="4">
        <v>5768.3339945677053</v>
      </c>
      <c r="G200" s="4">
        <f t="shared" si="10"/>
        <v>288416.69972838525</v>
      </c>
      <c r="H200" s="4">
        <f t="shared" si="11"/>
        <v>-96216.620380260632</v>
      </c>
    </row>
    <row r="201" spans="2:8" x14ac:dyDescent="0.35">
      <c r="B201" s="5">
        <v>15301.339762565996</v>
      </c>
      <c r="C201" s="6">
        <f t="shared" si="8"/>
        <v>300000</v>
      </c>
      <c r="D201" s="5">
        <f t="shared" si="9"/>
        <v>550000</v>
      </c>
      <c r="F201" s="4">
        <v>6826.5633106479081</v>
      </c>
      <c r="G201" s="4">
        <f t="shared" si="10"/>
        <v>300000</v>
      </c>
      <c r="H201" s="4">
        <f t="shared" si="11"/>
        <v>-80000</v>
      </c>
    </row>
    <row r="202" spans="2:8" x14ac:dyDescent="0.35">
      <c r="B202" s="5">
        <v>12813.776055177465</v>
      </c>
      <c r="C202" s="6">
        <f t="shared" si="8"/>
        <v>300000</v>
      </c>
      <c r="D202" s="5">
        <f t="shared" si="9"/>
        <v>396964.32386242249</v>
      </c>
      <c r="F202" s="4">
        <v>7391.460921048616</v>
      </c>
      <c r="G202" s="4">
        <f t="shared" si="10"/>
        <v>300000</v>
      </c>
      <c r="H202" s="4">
        <f t="shared" si="11"/>
        <v>-80000</v>
      </c>
    </row>
    <row r="203" spans="2:8" x14ac:dyDescent="0.35">
      <c r="B203" s="5">
        <v>16455.397198400831</v>
      </c>
      <c r="C203" s="6">
        <f t="shared" si="8"/>
        <v>300000</v>
      </c>
      <c r="D203" s="5">
        <f t="shared" si="9"/>
        <v>550000</v>
      </c>
      <c r="F203" s="4">
        <v>6916.5929136021005</v>
      </c>
      <c r="G203" s="4">
        <f t="shared" si="10"/>
        <v>300000</v>
      </c>
      <c r="H203" s="4">
        <f t="shared" si="11"/>
        <v>-80000</v>
      </c>
    </row>
    <row r="204" spans="2:8" x14ac:dyDescent="0.35">
      <c r="B204" s="5">
        <v>14794.122135074922</v>
      </c>
      <c r="C204" s="6">
        <f t="shared" ref="C204:C267" si="12">50*MIN(B204,6000)</f>
        <v>300000</v>
      </c>
      <c r="D204" s="5">
        <f t="shared" ref="D204:D267" si="13">70*MIN(B204,15000)-500000</f>
        <v>535588.54945524456</v>
      </c>
      <c r="F204" s="4">
        <v>4865.1387066255684</v>
      </c>
      <c r="G204" s="4">
        <f t="shared" ref="G204:G267" si="14">50*MIN(F204,6000)</f>
        <v>243256.93533127842</v>
      </c>
      <c r="H204" s="4">
        <f t="shared" ref="H204:H267" si="15">70*MIN(F204,6000)-500000</f>
        <v>-159440.29053621023</v>
      </c>
    </row>
    <row r="205" spans="2:8" x14ac:dyDescent="0.35">
      <c r="B205" s="5">
        <v>16086.581011383405</v>
      </c>
      <c r="C205" s="6">
        <f t="shared" si="12"/>
        <v>300000</v>
      </c>
      <c r="D205" s="5">
        <f t="shared" si="13"/>
        <v>550000</v>
      </c>
      <c r="F205" s="4">
        <v>3398.1139561143832</v>
      </c>
      <c r="G205" s="4">
        <f t="shared" si="14"/>
        <v>169905.69780571916</v>
      </c>
      <c r="H205" s="4">
        <f t="shared" si="15"/>
        <v>-262132.02307199317</v>
      </c>
    </row>
    <row r="206" spans="2:8" x14ac:dyDescent="0.35">
      <c r="B206" s="5">
        <v>13486.098818933684</v>
      </c>
      <c r="C206" s="6">
        <f t="shared" si="12"/>
        <v>300000</v>
      </c>
      <c r="D206" s="5">
        <f t="shared" si="13"/>
        <v>444026.91732535791</v>
      </c>
      <c r="F206" s="4">
        <v>7311.0446485793636</v>
      </c>
      <c r="G206" s="4">
        <f t="shared" si="14"/>
        <v>300000</v>
      </c>
      <c r="H206" s="4">
        <f t="shared" si="15"/>
        <v>-80000</v>
      </c>
    </row>
    <row r="207" spans="2:8" x14ac:dyDescent="0.35">
      <c r="B207" s="5">
        <v>14348.246711630603</v>
      </c>
      <c r="C207" s="6">
        <f t="shared" si="12"/>
        <v>300000</v>
      </c>
      <c r="D207" s="5">
        <f t="shared" si="13"/>
        <v>504377.26981414226</v>
      </c>
      <c r="F207" s="4">
        <v>4592.9136020996739</v>
      </c>
      <c r="G207" s="4">
        <f t="shared" si="14"/>
        <v>229645.68010498368</v>
      </c>
      <c r="H207" s="4">
        <f t="shared" si="15"/>
        <v>-178496.04785302281</v>
      </c>
    </row>
    <row r="208" spans="2:8" x14ac:dyDescent="0.35">
      <c r="B208" s="5">
        <v>14403.180028687399</v>
      </c>
      <c r="C208" s="6">
        <f t="shared" si="12"/>
        <v>300000</v>
      </c>
      <c r="D208" s="5">
        <f t="shared" si="13"/>
        <v>508222.60200811794</v>
      </c>
      <c r="F208" s="4">
        <v>5517.6244392223889</v>
      </c>
      <c r="G208" s="4">
        <f t="shared" si="14"/>
        <v>275881.22196111945</v>
      </c>
      <c r="H208" s="4">
        <f t="shared" si="15"/>
        <v>-113766.28925443278</v>
      </c>
    </row>
    <row r="209" spans="2:8" x14ac:dyDescent="0.35">
      <c r="B209" s="5">
        <v>13344.035157322916</v>
      </c>
      <c r="C209" s="6">
        <f t="shared" si="12"/>
        <v>300000</v>
      </c>
      <c r="D209" s="5">
        <f t="shared" si="13"/>
        <v>434082.46101260418</v>
      </c>
      <c r="F209" s="4">
        <v>7436.7809076204721</v>
      </c>
      <c r="G209" s="4">
        <f t="shared" si="14"/>
        <v>300000</v>
      </c>
      <c r="H209" s="4">
        <f t="shared" si="15"/>
        <v>-80000</v>
      </c>
    </row>
    <row r="210" spans="2:8" x14ac:dyDescent="0.35">
      <c r="B210" s="5">
        <v>15617.816705832087</v>
      </c>
      <c r="C210" s="6">
        <f t="shared" si="12"/>
        <v>300000</v>
      </c>
      <c r="D210" s="5">
        <f t="shared" si="13"/>
        <v>550000</v>
      </c>
      <c r="F210" s="4">
        <v>6084.0479750968962</v>
      </c>
      <c r="G210" s="4">
        <f t="shared" si="14"/>
        <v>300000</v>
      </c>
      <c r="H210" s="4">
        <f t="shared" si="15"/>
        <v>-80000</v>
      </c>
    </row>
    <row r="211" spans="2:8" x14ac:dyDescent="0.35">
      <c r="B211" s="5">
        <v>14766.808069093906</v>
      </c>
      <c r="C211" s="6">
        <f t="shared" si="12"/>
        <v>300000</v>
      </c>
      <c r="D211" s="5">
        <f t="shared" si="13"/>
        <v>533676.56483657344</v>
      </c>
      <c r="F211" s="4">
        <v>3976.5923032319101</v>
      </c>
      <c r="G211" s="4">
        <f t="shared" si="14"/>
        <v>198829.61516159552</v>
      </c>
      <c r="H211" s="4">
        <f t="shared" si="15"/>
        <v>-221638.53877376631</v>
      </c>
    </row>
    <row r="212" spans="2:8" x14ac:dyDescent="0.35">
      <c r="B212" s="5">
        <v>12131.687368388928</v>
      </c>
      <c r="C212" s="6">
        <f t="shared" si="12"/>
        <v>300000</v>
      </c>
      <c r="D212" s="5">
        <f t="shared" si="13"/>
        <v>349218.11578722496</v>
      </c>
      <c r="F212" s="4">
        <v>5150.7919553209022</v>
      </c>
      <c r="G212" s="4">
        <f t="shared" si="14"/>
        <v>257539.5977660451</v>
      </c>
      <c r="H212" s="4">
        <f t="shared" si="15"/>
        <v>-139444.56312753685</v>
      </c>
    </row>
    <row r="213" spans="2:8" x14ac:dyDescent="0.35">
      <c r="B213" s="5">
        <v>14934.81246375927</v>
      </c>
      <c r="C213" s="6">
        <f t="shared" si="12"/>
        <v>300000</v>
      </c>
      <c r="D213" s="5">
        <f t="shared" si="13"/>
        <v>545436.8724631489</v>
      </c>
      <c r="F213" s="4">
        <v>5507.7059236426885</v>
      </c>
      <c r="G213" s="4">
        <f t="shared" si="14"/>
        <v>275385.29618213442</v>
      </c>
      <c r="H213" s="4">
        <f t="shared" si="15"/>
        <v>-114460.58534501179</v>
      </c>
    </row>
    <row r="214" spans="2:8" x14ac:dyDescent="0.35">
      <c r="B214" s="5">
        <v>16331.339457380902</v>
      </c>
      <c r="C214" s="6">
        <f t="shared" si="12"/>
        <v>300000</v>
      </c>
      <c r="D214" s="5">
        <f t="shared" si="13"/>
        <v>550000</v>
      </c>
      <c r="F214" s="4">
        <v>4993.4690389721363</v>
      </c>
      <c r="G214" s="4">
        <f t="shared" si="14"/>
        <v>249673.45194860682</v>
      </c>
      <c r="H214" s="4">
        <f t="shared" si="15"/>
        <v>-150457.16727195046</v>
      </c>
    </row>
    <row r="215" spans="2:8" x14ac:dyDescent="0.35">
      <c r="B215" s="5">
        <v>16725.791192358163</v>
      </c>
      <c r="C215" s="6">
        <f t="shared" si="12"/>
        <v>300000</v>
      </c>
      <c r="D215" s="5">
        <f t="shared" si="13"/>
        <v>550000</v>
      </c>
      <c r="F215" s="4">
        <v>5782.0673238319032</v>
      </c>
      <c r="G215" s="4">
        <f t="shared" si="14"/>
        <v>289103.36619159515</v>
      </c>
      <c r="H215" s="4">
        <f t="shared" si="15"/>
        <v>-95255.287331766798</v>
      </c>
    </row>
    <row r="216" spans="2:8" x14ac:dyDescent="0.35">
      <c r="B216" s="5">
        <v>12285.348063600573</v>
      </c>
      <c r="C216" s="6">
        <f t="shared" si="12"/>
        <v>300000</v>
      </c>
      <c r="D216" s="5">
        <f t="shared" si="13"/>
        <v>359974.36445204017</v>
      </c>
      <c r="F216" s="4">
        <v>5431.867427594836</v>
      </c>
      <c r="G216" s="4">
        <f t="shared" si="14"/>
        <v>271593.37137974182</v>
      </c>
      <c r="H216" s="4">
        <f t="shared" si="15"/>
        <v>-119769.28006836149</v>
      </c>
    </row>
    <row r="217" spans="2:8" x14ac:dyDescent="0.35">
      <c r="B217" s="5">
        <v>16391.308328501236</v>
      </c>
      <c r="C217" s="6">
        <f t="shared" si="12"/>
        <v>300000</v>
      </c>
      <c r="D217" s="5">
        <f t="shared" si="13"/>
        <v>550000</v>
      </c>
      <c r="F217" s="4">
        <v>3675.9849848933377</v>
      </c>
      <c r="G217" s="4">
        <f t="shared" si="14"/>
        <v>183799.24924466689</v>
      </c>
      <c r="H217" s="4">
        <f t="shared" si="15"/>
        <v>-242681.05105746636</v>
      </c>
    </row>
    <row r="218" spans="2:8" x14ac:dyDescent="0.35">
      <c r="B218" s="5">
        <v>16179.967650379956</v>
      </c>
      <c r="C218" s="6">
        <f t="shared" si="12"/>
        <v>300000</v>
      </c>
      <c r="D218" s="5">
        <f t="shared" si="13"/>
        <v>550000</v>
      </c>
      <c r="F218" s="4">
        <v>5143.3149204992824</v>
      </c>
      <c r="G218" s="4">
        <f t="shared" si="14"/>
        <v>257165.74602496412</v>
      </c>
      <c r="H218" s="4">
        <f t="shared" si="15"/>
        <v>-139967.95556505024</v>
      </c>
    </row>
    <row r="219" spans="2:8" x14ac:dyDescent="0.35">
      <c r="B219" s="5">
        <v>14613.45255897702</v>
      </c>
      <c r="C219" s="6">
        <f t="shared" si="12"/>
        <v>300000</v>
      </c>
      <c r="D219" s="5">
        <f t="shared" si="13"/>
        <v>522941.67912839144</v>
      </c>
      <c r="F219" s="4">
        <v>6299.3560594500559</v>
      </c>
      <c r="G219" s="4">
        <f t="shared" si="14"/>
        <v>300000</v>
      </c>
      <c r="H219" s="4">
        <f t="shared" si="15"/>
        <v>-80000</v>
      </c>
    </row>
    <row r="220" spans="2:8" x14ac:dyDescent="0.35">
      <c r="B220" s="5">
        <v>16057.588427381206</v>
      </c>
      <c r="C220" s="6">
        <f t="shared" si="12"/>
        <v>300000</v>
      </c>
      <c r="D220" s="5">
        <f t="shared" si="13"/>
        <v>550000</v>
      </c>
      <c r="F220" s="4">
        <v>6184.4538712729263</v>
      </c>
      <c r="G220" s="4">
        <f t="shared" si="14"/>
        <v>300000</v>
      </c>
      <c r="H220" s="4">
        <f t="shared" si="15"/>
        <v>-80000</v>
      </c>
    </row>
    <row r="221" spans="2:8" x14ac:dyDescent="0.35">
      <c r="B221" s="5">
        <v>13559.953611865596</v>
      </c>
      <c r="C221" s="6">
        <f t="shared" si="12"/>
        <v>300000</v>
      </c>
      <c r="D221" s="5">
        <f t="shared" si="13"/>
        <v>449196.75283059175</v>
      </c>
      <c r="F221" s="4">
        <v>3889.004181035798</v>
      </c>
      <c r="G221" s="4">
        <f t="shared" si="14"/>
        <v>194450.20905178989</v>
      </c>
      <c r="H221" s="4">
        <f t="shared" si="15"/>
        <v>-227769.70732749416</v>
      </c>
    </row>
    <row r="222" spans="2:8" x14ac:dyDescent="0.35">
      <c r="B222" s="5">
        <v>16845.423749504072</v>
      </c>
      <c r="C222" s="6">
        <f t="shared" si="12"/>
        <v>300000</v>
      </c>
      <c r="D222" s="5">
        <f t="shared" si="13"/>
        <v>550000</v>
      </c>
      <c r="F222" s="4">
        <v>3936.4604632709738</v>
      </c>
      <c r="G222" s="4">
        <f t="shared" si="14"/>
        <v>196823.0231635487</v>
      </c>
      <c r="H222" s="4">
        <f t="shared" si="15"/>
        <v>-224447.76757103181</v>
      </c>
    </row>
    <row r="223" spans="2:8" x14ac:dyDescent="0.35">
      <c r="B223" s="5">
        <v>13221.503341776788</v>
      </c>
      <c r="C223" s="6">
        <f t="shared" si="12"/>
        <v>300000</v>
      </c>
      <c r="D223" s="5">
        <f t="shared" si="13"/>
        <v>425505.23392437515</v>
      </c>
      <c r="F223" s="4">
        <v>6086.0316782128357</v>
      </c>
      <c r="G223" s="4">
        <f t="shared" si="14"/>
        <v>300000</v>
      </c>
      <c r="H223" s="4">
        <f t="shared" si="15"/>
        <v>-80000</v>
      </c>
    </row>
    <row r="224" spans="2:8" x14ac:dyDescent="0.35">
      <c r="B224" s="5">
        <v>12063.936277352213</v>
      </c>
      <c r="C224" s="6">
        <f t="shared" si="12"/>
        <v>300000</v>
      </c>
      <c r="D224" s="5">
        <f t="shared" si="13"/>
        <v>344475.53941465495</v>
      </c>
      <c r="F224" s="4">
        <v>4937.9253517258221</v>
      </c>
      <c r="G224" s="4">
        <f t="shared" si="14"/>
        <v>246896.2675862911</v>
      </c>
      <c r="H224" s="4">
        <f t="shared" si="15"/>
        <v>-154345.22537919244</v>
      </c>
    </row>
    <row r="225" spans="2:8" x14ac:dyDescent="0.35">
      <c r="B225" s="5">
        <v>14120.731223487044</v>
      </c>
      <c r="C225" s="6">
        <f t="shared" si="12"/>
        <v>300000</v>
      </c>
      <c r="D225" s="5">
        <f t="shared" si="13"/>
        <v>488451.18564409309</v>
      </c>
      <c r="F225" s="4">
        <v>3454.420606097598</v>
      </c>
      <c r="G225" s="4">
        <f t="shared" si="14"/>
        <v>172721.03030487991</v>
      </c>
      <c r="H225" s="4">
        <f t="shared" si="15"/>
        <v>-258190.55757316813</v>
      </c>
    </row>
    <row r="226" spans="2:8" x14ac:dyDescent="0.35">
      <c r="B226" s="5">
        <v>12204.931791131321</v>
      </c>
      <c r="C226" s="6">
        <f t="shared" si="12"/>
        <v>300000</v>
      </c>
      <c r="D226" s="5">
        <f t="shared" si="13"/>
        <v>354345.2253791925</v>
      </c>
      <c r="F226" s="4">
        <v>7265.1142918179876</v>
      </c>
      <c r="G226" s="4">
        <f t="shared" si="14"/>
        <v>300000</v>
      </c>
      <c r="H226" s="4">
        <f t="shared" si="15"/>
        <v>-80000</v>
      </c>
    </row>
    <row r="227" spans="2:8" x14ac:dyDescent="0.35">
      <c r="B227" s="5">
        <v>12667.134617145299</v>
      </c>
      <c r="C227" s="6">
        <f t="shared" si="12"/>
        <v>300000</v>
      </c>
      <c r="D227" s="5">
        <f t="shared" si="13"/>
        <v>386699.42320017086</v>
      </c>
      <c r="F227" s="4">
        <v>6520.3100680562766</v>
      </c>
      <c r="G227" s="4">
        <f t="shared" si="14"/>
        <v>300000</v>
      </c>
      <c r="H227" s="4">
        <f t="shared" si="15"/>
        <v>-80000</v>
      </c>
    </row>
    <row r="228" spans="2:8" x14ac:dyDescent="0.35">
      <c r="B228" s="5">
        <v>12201.422162541581</v>
      </c>
      <c r="C228" s="6">
        <f t="shared" si="12"/>
        <v>300000</v>
      </c>
      <c r="D228" s="5">
        <f t="shared" si="13"/>
        <v>354099.55137791065</v>
      </c>
      <c r="F228" s="4">
        <v>7891.9644764549694</v>
      </c>
      <c r="G228" s="4">
        <f t="shared" si="14"/>
        <v>300000</v>
      </c>
      <c r="H228" s="4">
        <f t="shared" si="15"/>
        <v>-80000</v>
      </c>
    </row>
    <row r="229" spans="2:8" x14ac:dyDescent="0.35">
      <c r="B229" s="5">
        <v>13138.340403454695</v>
      </c>
      <c r="C229" s="6">
        <f t="shared" si="12"/>
        <v>300000</v>
      </c>
      <c r="D229" s="5">
        <f t="shared" si="13"/>
        <v>419683.8282418286</v>
      </c>
      <c r="F229" s="4">
        <v>5269.9667348246712</v>
      </c>
      <c r="G229" s="4">
        <f t="shared" si="14"/>
        <v>263498.33674123354</v>
      </c>
      <c r="H229" s="4">
        <f t="shared" si="15"/>
        <v>-131102.328562273</v>
      </c>
    </row>
    <row r="230" spans="2:8" x14ac:dyDescent="0.35">
      <c r="B230" s="5">
        <v>12300.759910885952</v>
      </c>
      <c r="C230" s="6">
        <f t="shared" si="12"/>
        <v>300000</v>
      </c>
      <c r="D230" s="5">
        <f t="shared" si="13"/>
        <v>361053.1937620166</v>
      </c>
      <c r="F230" s="4">
        <v>4445.6617938779873</v>
      </c>
      <c r="G230" s="4">
        <f t="shared" si="14"/>
        <v>222283.08969389935</v>
      </c>
      <c r="H230" s="4">
        <f t="shared" si="15"/>
        <v>-188803.67442854086</v>
      </c>
    </row>
    <row r="231" spans="2:8" x14ac:dyDescent="0.35">
      <c r="B231" s="5">
        <v>14614.82589190344</v>
      </c>
      <c r="C231" s="6">
        <f t="shared" si="12"/>
        <v>300000</v>
      </c>
      <c r="D231" s="5">
        <f t="shared" si="13"/>
        <v>523037.81243324082</v>
      </c>
      <c r="F231" s="4">
        <v>3122.2266304513687</v>
      </c>
      <c r="G231" s="4">
        <f t="shared" si="14"/>
        <v>156111.33152256842</v>
      </c>
      <c r="H231" s="4">
        <f t="shared" si="15"/>
        <v>-281444.13586840418</v>
      </c>
    </row>
    <row r="232" spans="2:8" x14ac:dyDescent="0.35">
      <c r="B232" s="5">
        <v>13607.867671742912</v>
      </c>
      <c r="C232" s="6">
        <f t="shared" si="12"/>
        <v>300000</v>
      </c>
      <c r="D232" s="5">
        <f t="shared" si="13"/>
        <v>452550.73702200386</v>
      </c>
      <c r="F232" s="4">
        <v>5578.2036805322423</v>
      </c>
      <c r="G232" s="4">
        <f t="shared" si="14"/>
        <v>278910.18402661209</v>
      </c>
      <c r="H232" s="4">
        <f t="shared" si="15"/>
        <v>-109525.74236274301</v>
      </c>
    </row>
    <row r="233" spans="2:8" x14ac:dyDescent="0.35">
      <c r="B233" s="5">
        <v>15305.307168797875</v>
      </c>
      <c r="C233" s="6">
        <f t="shared" si="12"/>
        <v>300000</v>
      </c>
      <c r="D233" s="5">
        <f t="shared" si="13"/>
        <v>550000</v>
      </c>
      <c r="F233" s="4">
        <v>3962.2486037781914</v>
      </c>
      <c r="G233" s="4">
        <f t="shared" si="14"/>
        <v>198112.43018890958</v>
      </c>
      <c r="H233" s="4">
        <f t="shared" si="15"/>
        <v>-222642.59773552662</v>
      </c>
    </row>
    <row r="234" spans="2:8" x14ac:dyDescent="0.35">
      <c r="B234" s="5">
        <v>12237.891781365399</v>
      </c>
      <c r="C234" s="6">
        <f t="shared" si="12"/>
        <v>300000</v>
      </c>
      <c r="D234" s="5">
        <f t="shared" si="13"/>
        <v>356652.42469557794</v>
      </c>
      <c r="F234" s="4">
        <v>5428.8155766472364</v>
      </c>
      <c r="G234" s="4">
        <f t="shared" si="14"/>
        <v>271440.7788323618</v>
      </c>
      <c r="H234" s="4">
        <f t="shared" si="15"/>
        <v>-119982.90963469347</v>
      </c>
    </row>
    <row r="235" spans="2:8" x14ac:dyDescent="0.35">
      <c r="B235" s="5">
        <v>13702.780236213262</v>
      </c>
      <c r="C235" s="6">
        <f t="shared" si="12"/>
        <v>300000</v>
      </c>
      <c r="D235" s="5">
        <f t="shared" si="13"/>
        <v>459194.61653492833</v>
      </c>
      <c r="F235" s="4">
        <v>7048.585467085788</v>
      </c>
      <c r="G235" s="4">
        <f t="shared" si="14"/>
        <v>300000</v>
      </c>
      <c r="H235" s="4">
        <f t="shared" si="15"/>
        <v>-80000</v>
      </c>
    </row>
    <row r="236" spans="2:8" x14ac:dyDescent="0.35">
      <c r="B236" s="5">
        <v>15008.209479049043</v>
      </c>
      <c r="C236" s="6">
        <f t="shared" si="12"/>
        <v>300000</v>
      </c>
      <c r="D236" s="5">
        <f t="shared" si="13"/>
        <v>550000</v>
      </c>
      <c r="F236" s="4">
        <v>4002.3804437391277</v>
      </c>
      <c r="G236" s="4">
        <f t="shared" si="14"/>
        <v>200119.0221869564</v>
      </c>
      <c r="H236" s="4">
        <f t="shared" si="15"/>
        <v>-219833.36893826106</v>
      </c>
    </row>
    <row r="237" spans="2:8" x14ac:dyDescent="0.35">
      <c r="B237" s="5">
        <v>14028.565324869534</v>
      </c>
      <c r="C237" s="6">
        <f t="shared" si="12"/>
        <v>300000</v>
      </c>
      <c r="D237" s="5">
        <f t="shared" si="13"/>
        <v>481999.57274086738</v>
      </c>
      <c r="F237" s="4">
        <v>5589.8007141331218</v>
      </c>
      <c r="G237" s="4">
        <f t="shared" si="14"/>
        <v>279490.03570665611</v>
      </c>
      <c r="H237" s="4">
        <f t="shared" si="15"/>
        <v>-108713.95001068147</v>
      </c>
    </row>
    <row r="238" spans="2:8" x14ac:dyDescent="0.35">
      <c r="B238" s="5">
        <v>15547.471541489915</v>
      </c>
      <c r="C238" s="6">
        <f t="shared" si="12"/>
        <v>300000</v>
      </c>
      <c r="D238" s="5">
        <f t="shared" si="13"/>
        <v>550000</v>
      </c>
      <c r="F238" s="4">
        <v>7316.0802026429028</v>
      </c>
      <c r="G238" s="4">
        <f t="shared" si="14"/>
        <v>300000</v>
      </c>
      <c r="H238" s="4">
        <f t="shared" si="15"/>
        <v>-80000</v>
      </c>
    </row>
    <row r="239" spans="2:8" x14ac:dyDescent="0.35">
      <c r="B239" s="5">
        <v>15580.126346629229</v>
      </c>
      <c r="C239" s="6">
        <f t="shared" si="12"/>
        <v>300000</v>
      </c>
      <c r="D239" s="5">
        <f t="shared" si="13"/>
        <v>550000</v>
      </c>
      <c r="F239" s="4">
        <v>3666.8294320505388</v>
      </c>
      <c r="G239" s="4">
        <f t="shared" si="14"/>
        <v>183341.47160252693</v>
      </c>
      <c r="H239" s="4">
        <f t="shared" si="15"/>
        <v>-243321.93975646229</v>
      </c>
    </row>
    <row r="240" spans="2:8" x14ac:dyDescent="0.35">
      <c r="B240" s="5">
        <v>13226.538895840327</v>
      </c>
      <c r="C240" s="6">
        <f t="shared" si="12"/>
        <v>300000</v>
      </c>
      <c r="D240" s="5">
        <f t="shared" si="13"/>
        <v>425857.72270882293</v>
      </c>
      <c r="F240" s="4">
        <v>4544.2365794854577</v>
      </c>
      <c r="G240" s="4">
        <f t="shared" si="14"/>
        <v>227211.82897427288</v>
      </c>
      <c r="H240" s="4">
        <f t="shared" si="15"/>
        <v>-181903.43943601794</v>
      </c>
    </row>
    <row r="241" spans="2:8" x14ac:dyDescent="0.35">
      <c r="B241" s="5">
        <v>15019.653920102543</v>
      </c>
      <c r="C241" s="6">
        <f t="shared" si="12"/>
        <v>300000</v>
      </c>
      <c r="D241" s="5">
        <f t="shared" si="13"/>
        <v>550000</v>
      </c>
      <c r="F241" s="4">
        <v>6065.1264992217784</v>
      </c>
      <c r="G241" s="4">
        <f t="shared" si="14"/>
        <v>300000</v>
      </c>
      <c r="H241" s="4">
        <f t="shared" si="15"/>
        <v>-80000</v>
      </c>
    </row>
    <row r="242" spans="2:8" x14ac:dyDescent="0.35">
      <c r="B242" s="5">
        <v>14043.061616870633</v>
      </c>
      <c r="C242" s="6">
        <f t="shared" si="12"/>
        <v>300000</v>
      </c>
      <c r="D242" s="5">
        <f t="shared" si="13"/>
        <v>483014.3131809443</v>
      </c>
      <c r="F242" s="4">
        <v>4714.2246772667622</v>
      </c>
      <c r="G242" s="4">
        <f t="shared" si="14"/>
        <v>235711.2338633381</v>
      </c>
      <c r="H242" s="4">
        <f t="shared" si="15"/>
        <v>-170004.27259132662</v>
      </c>
    </row>
    <row r="243" spans="2:8" x14ac:dyDescent="0.35">
      <c r="B243" s="5">
        <v>15462.477492599261</v>
      </c>
      <c r="C243" s="6">
        <f t="shared" si="12"/>
        <v>300000</v>
      </c>
      <c r="D243" s="5">
        <f t="shared" si="13"/>
        <v>550000</v>
      </c>
      <c r="F243" s="4">
        <v>4617.4810022278516</v>
      </c>
      <c r="G243" s="4">
        <f t="shared" si="14"/>
        <v>230874.05011139257</v>
      </c>
      <c r="H243" s="4">
        <f t="shared" si="15"/>
        <v>-176776.3298440504</v>
      </c>
    </row>
    <row r="244" spans="2:8" x14ac:dyDescent="0.35">
      <c r="B244" s="5">
        <v>13145.664845728934</v>
      </c>
      <c r="C244" s="6">
        <f t="shared" si="12"/>
        <v>300000</v>
      </c>
      <c r="D244" s="5">
        <f t="shared" si="13"/>
        <v>420196.53920102539</v>
      </c>
      <c r="F244" s="4">
        <v>3398.2665486617634</v>
      </c>
      <c r="G244" s="4">
        <f t="shared" si="14"/>
        <v>169913.32743308818</v>
      </c>
      <c r="H244" s="4">
        <f t="shared" si="15"/>
        <v>-262121.34159367657</v>
      </c>
    </row>
    <row r="245" spans="2:8" x14ac:dyDescent="0.35">
      <c r="B245" s="5">
        <v>14541.886654255806</v>
      </c>
      <c r="C245" s="6">
        <f t="shared" si="12"/>
        <v>300000</v>
      </c>
      <c r="D245" s="5">
        <f t="shared" si="13"/>
        <v>517932.06579790649</v>
      </c>
      <c r="F245" s="4">
        <v>5957.0909756767478</v>
      </c>
      <c r="G245" s="4">
        <f t="shared" si="14"/>
        <v>297854.54878383741</v>
      </c>
      <c r="H245" s="4">
        <f t="shared" si="15"/>
        <v>-83003.631702627637</v>
      </c>
    </row>
    <row r="246" spans="2:8" x14ac:dyDescent="0.35">
      <c r="B246" s="5">
        <v>13702.780236213262</v>
      </c>
      <c r="C246" s="6">
        <f t="shared" si="12"/>
        <v>300000</v>
      </c>
      <c r="D246" s="5">
        <f t="shared" si="13"/>
        <v>459194.61653492833</v>
      </c>
      <c r="F246" s="4">
        <v>5959.9902340769677</v>
      </c>
      <c r="G246" s="4">
        <f t="shared" si="14"/>
        <v>297999.51170384837</v>
      </c>
      <c r="H246" s="4">
        <f t="shared" si="15"/>
        <v>-82800.683614612266</v>
      </c>
    </row>
    <row r="247" spans="2:8" x14ac:dyDescent="0.35">
      <c r="B247" s="5">
        <v>13611.377300332651</v>
      </c>
      <c r="C247" s="6">
        <f t="shared" si="12"/>
        <v>300000</v>
      </c>
      <c r="D247" s="5">
        <f t="shared" si="13"/>
        <v>452796.41102328559</v>
      </c>
      <c r="F247" s="4">
        <v>7267.0979949339271</v>
      </c>
      <c r="G247" s="4">
        <f t="shared" si="14"/>
        <v>300000</v>
      </c>
      <c r="H247" s="4">
        <f t="shared" si="15"/>
        <v>-80000</v>
      </c>
    </row>
    <row r="248" spans="2:8" x14ac:dyDescent="0.35">
      <c r="B248" s="5">
        <v>16893.795587023531</v>
      </c>
      <c r="C248" s="6">
        <f t="shared" si="12"/>
        <v>300000</v>
      </c>
      <c r="D248" s="5">
        <f t="shared" si="13"/>
        <v>550000</v>
      </c>
      <c r="F248" s="4">
        <v>3838.6486404004027</v>
      </c>
      <c r="G248" s="4">
        <f t="shared" si="14"/>
        <v>191932.43202002015</v>
      </c>
      <c r="H248" s="4">
        <f t="shared" si="15"/>
        <v>-231294.59517197183</v>
      </c>
    </row>
    <row r="249" spans="2:8" x14ac:dyDescent="0.35">
      <c r="B249" s="5">
        <v>14972.350230414746</v>
      </c>
      <c r="C249" s="6">
        <f t="shared" si="12"/>
        <v>300000</v>
      </c>
      <c r="D249" s="5">
        <f t="shared" si="13"/>
        <v>548064.51612903224</v>
      </c>
      <c r="F249" s="4">
        <v>6822.7484969634079</v>
      </c>
      <c r="G249" s="4">
        <f t="shared" si="14"/>
        <v>300000</v>
      </c>
      <c r="H249" s="4">
        <f t="shared" si="15"/>
        <v>-80000</v>
      </c>
    </row>
    <row r="250" spans="2:8" x14ac:dyDescent="0.35">
      <c r="B250" s="5">
        <v>13607.867671742912</v>
      </c>
      <c r="C250" s="6">
        <f t="shared" si="12"/>
        <v>300000</v>
      </c>
      <c r="D250" s="5">
        <f t="shared" si="13"/>
        <v>452550.73702200386</v>
      </c>
      <c r="F250" s="4">
        <v>4742.7594836268199</v>
      </c>
      <c r="G250" s="4">
        <f t="shared" si="14"/>
        <v>237137.97418134101</v>
      </c>
      <c r="H250" s="4">
        <f t="shared" si="15"/>
        <v>-168006.8361461226</v>
      </c>
    </row>
    <row r="251" spans="2:8" x14ac:dyDescent="0.35">
      <c r="B251" s="5">
        <v>16643.391216772972</v>
      </c>
      <c r="C251" s="6">
        <f t="shared" si="12"/>
        <v>300000</v>
      </c>
      <c r="D251" s="5">
        <f t="shared" si="13"/>
        <v>550000</v>
      </c>
      <c r="F251" s="4">
        <v>7960.9363078707238</v>
      </c>
      <c r="G251" s="4">
        <f t="shared" si="14"/>
        <v>300000</v>
      </c>
      <c r="H251" s="4">
        <f t="shared" si="15"/>
        <v>-80000</v>
      </c>
    </row>
    <row r="252" spans="2:8" x14ac:dyDescent="0.35">
      <c r="B252" s="5">
        <v>15542.283394878994</v>
      </c>
      <c r="C252" s="6">
        <f t="shared" si="12"/>
        <v>300000</v>
      </c>
      <c r="D252" s="5">
        <f t="shared" si="13"/>
        <v>550000</v>
      </c>
      <c r="F252" s="4">
        <v>7085.8180486465044</v>
      </c>
      <c r="G252" s="4">
        <f t="shared" si="14"/>
        <v>300000</v>
      </c>
      <c r="H252" s="4">
        <f t="shared" si="15"/>
        <v>-80000</v>
      </c>
    </row>
    <row r="253" spans="2:8" x14ac:dyDescent="0.35">
      <c r="B253" s="5">
        <v>12835.596789452804</v>
      </c>
      <c r="C253" s="6">
        <f t="shared" si="12"/>
        <v>300000</v>
      </c>
      <c r="D253" s="5">
        <f t="shared" si="13"/>
        <v>398491.77526169631</v>
      </c>
      <c r="F253" s="4">
        <v>6731.4981536301766</v>
      </c>
      <c r="G253" s="4">
        <f t="shared" si="14"/>
        <v>300000</v>
      </c>
      <c r="H253" s="4">
        <f t="shared" si="15"/>
        <v>-80000</v>
      </c>
    </row>
    <row r="254" spans="2:8" x14ac:dyDescent="0.35">
      <c r="B254" s="5">
        <v>12469.222083193457</v>
      </c>
      <c r="C254" s="6">
        <f t="shared" si="12"/>
        <v>300000</v>
      </c>
      <c r="D254" s="5">
        <f t="shared" si="13"/>
        <v>372845.54582354205</v>
      </c>
      <c r="F254" s="4">
        <v>4161.8396557512133</v>
      </c>
      <c r="G254" s="4">
        <f t="shared" si="14"/>
        <v>208091.98278756067</v>
      </c>
      <c r="H254" s="4">
        <f t="shared" si="15"/>
        <v>-208671.22409741505</v>
      </c>
    </row>
    <row r="255" spans="2:8" x14ac:dyDescent="0.35">
      <c r="B255" s="5">
        <v>16074.983977782525</v>
      </c>
      <c r="C255" s="6">
        <f t="shared" si="12"/>
        <v>300000</v>
      </c>
      <c r="D255" s="5">
        <f t="shared" si="13"/>
        <v>550000</v>
      </c>
      <c r="F255" s="4">
        <v>7980.4681539353614</v>
      </c>
      <c r="G255" s="4">
        <f t="shared" si="14"/>
        <v>300000</v>
      </c>
      <c r="H255" s="4">
        <f t="shared" si="15"/>
        <v>-80000</v>
      </c>
    </row>
    <row r="256" spans="2:8" x14ac:dyDescent="0.35">
      <c r="B256" s="5">
        <v>14094.027527695547</v>
      </c>
      <c r="C256" s="6">
        <f t="shared" si="12"/>
        <v>300000</v>
      </c>
      <c r="D256" s="5">
        <f t="shared" si="13"/>
        <v>486581.92693868827</v>
      </c>
      <c r="F256" s="4">
        <v>5058.7786492507712</v>
      </c>
      <c r="G256" s="4">
        <f t="shared" si="14"/>
        <v>252938.93246253856</v>
      </c>
      <c r="H256" s="4">
        <f t="shared" si="15"/>
        <v>-145885.49455244601</v>
      </c>
    </row>
    <row r="257" spans="2:8" x14ac:dyDescent="0.35">
      <c r="B257" s="5">
        <v>16962.920010986665</v>
      </c>
      <c r="C257" s="6">
        <f t="shared" si="12"/>
        <v>300000</v>
      </c>
      <c r="D257" s="5">
        <f t="shared" si="13"/>
        <v>550000</v>
      </c>
      <c r="F257" s="4">
        <v>5133.5489974669636</v>
      </c>
      <c r="G257" s="4">
        <f t="shared" si="14"/>
        <v>256677.44987334817</v>
      </c>
      <c r="H257" s="4">
        <f t="shared" si="15"/>
        <v>-140651.57017731253</v>
      </c>
    </row>
    <row r="258" spans="2:8" x14ac:dyDescent="0.35">
      <c r="B258" s="5">
        <v>14772.606585894344</v>
      </c>
      <c r="C258" s="6">
        <f t="shared" si="12"/>
        <v>300000</v>
      </c>
      <c r="D258" s="5">
        <f t="shared" si="13"/>
        <v>534082.46101260406</v>
      </c>
      <c r="F258" s="4">
        <v>7743.949705496384</v>
      </c>
      <c r="G258" s="4">
        <f t="shared" si="14"/>
        <v>300000</v>
      </c>
      <c r="H258" s="4">
        <f t="shared" si="15"/>
        <v>-80000</v>
      </c>
    </row>
    <row r="259" spans="2:8" x14ac:dyDescent="0.35">
      <c r="B259" s="5">
        <v>13011.230811487167</v>
      </c>
      <c r="C259" s="6">
        <f t="shared" si="12"/>
        <v>300000</v>
      </c>
      <c r="D259" s="5">
        <f t="shared" si="13"/>
        <v>410786.15680410166</v>
      </c>
      <c r="F259" s="4">
        <v>3612.6590777306437</v>
      </c>
      <c r="G259" s="4">
        <f t="shared" si="14"/>
        <v>180632.9538865322</v>
      </c>
      <c r="H259" s="4">
        <f t="shared" si="15"/>
        <v>-247113.86455885493</v>
      </c>
    </row>
    <row r="260" spans="2:8" x14ac:dyDescent="0.35">
      <c r="B260" s="5">
        <v>13044.801171910764</v>
      </c>
      <c r="C260" s="6">
        <f t="shared" si="12"/>
        <v>300000</v>
      </c>
      <c r="D260" s="5">
        <f t="shared" si="13"/>
        <v>413136.0820337534</v>
      </c>
      <c r="F260" s="4">
        <v>5793.3591723380232</v>
      </c>
      <c r="G260" s="4">
        <f t="shared" si="14"/>
        <v>289667.95861690119</v>
      </c>
      <c r="H260" s="4">
        <f t="shared" si="15"/>
        <v>-94464.857936338405</v>
      </c>
    </row>
    <row r="261" spans="2:8" x14ac:dyDescent="0.35">
      <c r="B261" s="5">
        <v>16934.537797173987</v>
      </c>
      <c r="C261" s="6">
        <f t="shared" si="12"/>
        <v>300000</v>
      </c>
      <c r="D261" s="5">
        <f t="shared" si="13"/>
        <v>550000</v>
      </c>
      <c r="F261" s="4">
        <v>4730.8572649311809</v>
      </c>
      <c r="G261" s="4">
        <f t="shared" si="14"/>
        <v>236542.86324655905</v>
      </c>
      <c r="H261" s="4">
        <f t="shared" si="15"/>
        <v>-168839.99145481735</v>
      </c>
    </row>
    <row r="262" spans="2:8" x14ac:dyDescent="0.35">
      <c r="B262" s="5">
        <v>16075.136570329905</v>
      </c>
      <c r="C262" s="6">
        <f t="shared" si="12"/>
        <v>300000</v>
      </c>
      <c r="D262" s="5">
        <f t="shared" si="13"/>
        <v>550000</v>
      </c>
      <c r="F262" s="4">
        <v>4456.4958647419662</v>
      </c>
      <c r="G262" s="4">
        <f t="shared" si="14"/>
        <v>222824.79323709832</v>
      </c>
      <c r="H262" s="4">
        <f t="shared" si="15"/>
        <v>-188045.28946806234</v>
      </c>
    </row>
    <row r="263" spans="2:8" x14ac:dyDescent="0.35">
      <c r="B263" s="5">
        <v>15383.129367961668</v>
      </c>
      <c r="C263" s="6">
        <f t="shared" si="12"/>
        <v>300000</v>
      </c>
      <c r="D263" s="5">
        <f t="shared" si="13"/>
        <v>550000</v>
      </c>
      <c r="F263" s="4">
        <v>4237.0677816095458</v>
      </c>
      <c r="G263" s="4">
        <f t="shared" si="14"/>
        <v>211853.3890804773</v>
      </c>
      <c r="H263" s="4">
        <f t="shared" si="15"/>
        <v>-203405.25528733182</v>
      </c>
    </row>
    <row r="264" spans="2:8" x14ac:dyDescent="0.35">
      <c r="B264" s="5">
        <v>12296.334727011932</v>
      </c>
      <c r="C264" s="6">
        <f t="shared" si="12"/>
        <v>300000</v>
      </c>
      <c r="D264" s="5">
        <f t="shared" si="13"/>
        <v>360743.43089083524</v>
      </c>
      <c r="F264" s="4">
        <v>4807.6113162633137</v>
      </c>
      <c r="G264" s="4">
        <f t="shared" si="14"/>
        <v>240380.56581316568</v>
      </c>
      <c r="H264" s="4">
        <f t="shared" si="15"/>
        <v>-163467.20786156802</v>
      </c>
    </row>
    <row r="265" spans="2:8" x14ac:dyDescent="0.35">
      <c r="B265" s="5">
        <v>14463.454084902492</v>
      </c>
      <c r="C265" s="6">
        <f t="shared" si="12"/>
        <v>300000</v>
      </c>
      <c r="D265" s="5">
        <f t="shared" si="13"/>
        <v>512441.7859431745</v>
      </c>
      <c r="F265" s="4">
        <v>5505.4170354319895</v>
      </c>
      <c r="G265" s="4">
        <f t="shared" si="14"/>
        <v>275270.8517715995</v>
      </c>
      <c r="H265" s="4">
        <f t="shared" si="15"/>
        <v>-114620.80751976074</v>
      </c>
    </row>
    <row r="266" spans="2:8" x14ac:dyDescent="0.35">
      <c r="B266" s="5">
        <v>14482.680745872371</v>
      </c>
      <c r="C266" s="6">
        <f t="shared" si="12"/>
        <v>300000</v>
      </c>
      <c r="D266" s="5">
        <f t="shared" si="13"/>
        <v>513787.65221106599</v>
      </c>
      <c r="F266" s="4">
        <v>7246.3454084902487</v>
      </c>
      <c r="G266" s="4">
        <f t="shared" si="14"/>
        <v>300000</v>
      </c>
      <c r="H266" s="4">
        <f t="shared" si="15"/>
        <v>-80000</v>
      </c>
    </row>
    <row r="267" spans="2:8" x14ac:dyDescent="0.35">
      <c r="B267" s="5">
        <v>16638.660847804193</v>
      </c>
      <c r="C267" s="6">
        <f t="shared" si="12"/>
        <v>300000</v>
      </c>
      <c r="D267" s="5">
        <f t="shared" si="13"/>
        <v>550000</v>
      </c>
      <c r="F267" s="4">
        <v>4834.6201971495711</v>
      </c>
      <c r="G267" s="4">
        <f t="shared" si="14"/>
        <v>241731.00985747855</v>
      </c>
      <c r="H267" s="4">
        <f t="shared" si="15"/>
        <v>-161576.58619952999</v>
      </c>
    </row>
    <row r="268" spans="2:8" x14ac:dyDescent="0.35">
      <c r="B268" s="5">
        <v>15706.015198217719</v>
      </c>
      <c r="C268" s="6">
        <f t="shared" ref="C268:C331" si="16">50*MIN(B268,6000)</f>
        <v>300000</v>
      </c>
      <c r="D268" s="5">
        <f t="shared" ref="D268:D331" si="17">70*MIN(B268,15000)-500000</f>
        <v>550000</v>
      </c>
      <c r="F268" s="4">
        <v>3194.8606830042422</v>
      </c>
      <c r="G268" s="4">
        <f t="shared" ref="G268:G331" si="18">50*MIN(F268,6000)</f>
        <v>159743.0341502121</v>
      </c>
      <c r="H268" s="4">
        <f t="shared" ref="H268:H331" si="19">70*MIN(F268,6000)-500000</f>
        <v>-276359.75218970305</v>
      </c>
    </row>
    <row r="269" spans="2:8" x14ac:dyDescent="0.35">
      <c r="B269" s="5">
        <v>12873.13455610828</v>
      </c>
      <c r="C269" s="6">
        <f t="shared" si="16"/>
        <v>300000</v>
      </c>
      <c r="D269" s="5">
        <f t="shared" si="17"/>
        <v>401119.41892757954</v>
      </c>
      <c r="F269" s="4">
        <v>3563.2190923795283</v>
      </c>
      <c r="G269" s="4">
        <f t="shared" si="18"/>
        <v>178160.95461897642</v>
      </c>
      <c r="H269" s="4">
        <f t="shared" si="19"/>
        <v>-250574.66353343302</v>
      </c>
    </row>
    <row r="270" spans="2:8" x14ac:dyDescent="0.35">
      <c r="B270" s="5">
        <v>12840.937528611103</v>
      </c>
      <c r="C270" s="6">
        <f t="shared" si="16"/>
        <v>300000</v>
      </c>
      <c r="D270" s="5">
        <f t="shared" si="17"/>
        <v>398865.62700277718</v>
      </c>
      <c r="F270" s="4">
        <v>7133.4269234290596</v>
      </c>
      <c r="G270" s="4">
        <f t="shared" si="18"/>
        <v>300000</v>
      </c>
      <c r="H270" s="4">
        <f t="shared" si="19"/>
        <v>-80000</v>
      </c>
    </row>
    <row r="271" spans="2:8" x14ac:dyDescent="0.35">
      <c r="B271" s="5">
        <v>12296.487319559314</v>
      </c>
      <c r="C271" s="6">
        <f t="shared" si="16"/>
        <v>300000</v>
      </c>
      <c r="D271" s="5">
        <f t="shared" si="17"/>
        <v>360754.1123691519</v>
      </c>
      <c r="F271" s="4">
        <v>6829.3099765007482</v>
      </c>
      <c r="G271" s="4">
        <f t="shared" si="18"/>
        <v>300000</v>
      </c>
      <c r="H271" s="4">
        <f t="shared" si="19"/>
        <v>-80000</v>
      </c>
    </row>
    <row r="272" spans="2:8" x14ac:dyDescent="0.35">
      <c r="B272" s="5">
        <v>12051.118503372296</v>
      </c>
      <c r="C272" s="6">
        <f t="shared" si="16"/>
        <v>300000</v>
      </c>
      <c r="D272" s="5">
        <f t="shared" si="17"/>
        <v>343578.29523606075</v>
      </c>
      <c r="F272" s="4">
        <v>5728.8125247962889</v>
      </c>
      <c r="G272" s="4">
        <f t="shared" si="18"/>
        <v>286440.62623981445</v>
      </c>
      <c r="H272" s="4">
        <f t="shared" si="19"/>
        <v>-98983.123264259775</v>
      </c>
    </row>
    <row r="273" spans="2:8" x14ac:dyDescent="0.35">
      <c r="B273" s="5">
        <v>12326.85323648793</v>
      </c>
      <c r="C273" s="6">
        <f t="shared" si="16"/>
        <v>300000</v>
      </c>
      <c r="D273" s="5">
        <f t="shared" si="17"/>
        <v>362879.72655415512</v>
      </c>
      <c r="F273" s="4">
        <v>4948.3016449476609</v>
      </c>
      <c r="G273" s="4">
        <f t="shared" si="18"/>
        <v>247415.08224738305</v>
      </c>
      <c r="H273" s="4">
        <f t="shared" si="19"/>
        <v>-153618.88485366374</v>
      </c>
    </row>
    <row r="274" spans="2:8" x14ac:dyDescent="0.35">
      <c r="B274" s="5">
        <v>13669.362468337047</v>
      </c>
      <c r="C274" s="6">
        <f t="shared" si="16"/>
        <v>300000</v>
      </c>
      <c r="D274" s="5">
        <f t="shared" si="17"/>
        <v>456855.37278359325</v>
      </c>
      <c r="F274" s="4">
        <v>7394.6653645435954</v>
      </c>
      <c r="G274" s="4">
        <f t="shared" si="18"/>
        <v>300000</v>
      </c>
      <c r="H274" s="4">
        <f t="shared" si="19"/>
        <v>-80000</v>
      </c>
    </row>
    <row r="275" spans="2:8" x14ac:dyDescent="0.35">
      <c r="B275" s="5">
        <v>13267.738883632923</v>
      </c>
      <c r="C275" s="6">
        <f t="shared" si="16"/>
        <v>300000</v>
      </c>
      <c r="D275" s="5">
        <f t="shared" si="17"/>
        <v>428741.72185430455</v>
      </c>
      <c r="F275" s="4">
        <v>3664.8457289345988</v>
      </c>
      <c r="G275" s="4">
        <f t="shared" si="18"/>
        <v>183242.28644672994</v>
      </c>
      <c r="H275" s="4">
        <f t="shared" si="19"/>
        <v>-243460.79897457809</v>
      </c>
    </row>
    <row r="276" spans="2:8" x14ac:dyDescent="0.35">
      <c r="B276" s="5">
        <v>15692.434461500899</v>
      </c>
      <c r="C276" s="6">
        <f t="shared" si="16"/>
        <v>300000</v>
      </c>
      <c r="D276" s="5">
        <f t="shared" si="17"/>
        <v>550000</v>
      </c>
      <c r="F276" s="4">
        <v>4756.6454054383985</v>
      </c>
      <c r="G276" s="4">
        <f t="shared" si="18"/>
        <v>237832.27027191993</v>
      </c>
      <c r="H276" s="4">
        <f t="shared" si="19"/>
        <v>-167034.8216193121</v>
      </c>
    </row>
    <row r="277" spans="2:8" x14ac:dyDescent="0.35">
      <c r="B277" s="5">
        <v>15967.101046784876</v>
      </c>
      <c r="C277" s="6">
        <f t="shared" si="16"/>
        <v>300000</v>
      </c>
      <c r="D277" s="5">
        <f t="shared" si="17"/>
        <v>550000</v>
      </c>
      <c r="F277" s="4">
        <v>7083.6817529831842</v>
      </c>
      <c r="G277" s="4">
        <f t="shared" si="18"/>
        <v>300000</v>
      </c>
      <c r="H277" s="4">
        <f t="shared" si="19"/>
        <v>-80000</v>
      </c>
    </row>
    <row r="278" spans="2:8" x14ac:dyDescent="0.35">
      <c r="B278" s="5">
        <v>16371.623889889219</v>
      </c>
      <c r="C278" s="6">
        <f t="shared" si="16"/>
        <v>300000</v>
      </c>
      <c r="D278" s="5">
        <f t="shared" si="17"/>
        <v>550000</v>
      </c>
      <c r="F278" s="4">
        <v>4865.2912991729481</v>
      </c>
      <c r="G278" s="4">
        <f t="shared" si="18"/>
        <v>243264.56495864742</v>
      </c>
      <c r="H278" s="4">
        <f t="shared" si="19"/>
        <v>-159429.60905789363</v>
      </c>
    </row>
    <row r="279" spans="2:8" x14ac:dyDescent="0.35">
      <c r="B279" s="5">
        <v>12349.284340952789</v>
      </c>
      <c r="C279" s="6">
        <f t="shared" si="16"/>
        <v>300000</v>
      </c>
      <c r="D279" s="5">
        <f t="shared" si="17"/>
        <v>364449.90386669524</v>
      </c>
      <c r="F279" s="4">
        <v>5023.6823633533741</v>
      </c>
      <c r="G279" s="4">
        <f t="shared" si="18"/>
        <v>251184.1181676687</v>
      </c>
      <c r="H279" s="4">
        <f t="shared" si="19"/>
        <v>-148342.23456526379</v>
      </c>
    </row>
    <row r="280" spans="2:8" x14ac:dyDescent="0.35">
      <c r="B280" s="5">
        <v>12713.217566454054</v>
      </c>
      <c r="C280" s="6">
        <f t="shared" si="16"/>
        <v>300000</v>
      </c>
      <c r="D280" s="5">
        <f t="shared" si="17"/>
        <v>389925.22965178371</v>
      </c>
      <c r="F280" s="4">
        <v>3167.0888393810847</v>
      </c>
      <c r="G280" s="4">
        <f t="shared" si="18"/>
        <v>158354.44196905423</v>
      </c>
      <c r="H280" s="4">
        <f t="shared" si="19"/>
        <v>-278303.78124332405</v>
      </c>
    </row>
    <row r="281" spans="2:8" x14ac:dyDescent="0.35">
      <c r="B281" s="5">
        <v>14617.572557756279</v>
      </c>
      <c r="C281" s="6">
        <f t="shared" si="16"/>
        <v>300000</v>
      </c>
      <c r="D281" s="5">
        <f t="shared" si="17"/>
        <v>523230.07904293947</v>
      </c>
      <c r="F281" s="4">
        <v>7995.4222235786001</v>
      </c>
      <c r="G281" s="4">
        <f t="shared" si="18"/>
        <v>300000</v>
      </c>
      <c r="H281" s="4">
        <f t="shared" si="19"/>
        <v>-80000</v>
      </c>
    </row>
    <row r="282" spans="2:8" x14ac:dyDescent="0.35">
      <c r="B282" s="5">
        <v>13752.220221564379</v>
      </c>
      <c r="C282" s="6">
        <f t="shared" si="16"/>
        <v>300000</v>
      </c>
      <c r="D282" s="5">
        <f t="shared" si="17"/>
        <v>462655.41550950659</v>
      </c>
      <c r="F282" s="4">
        <v>7891.0489211706899</v>
      </c>
      <c r="G282" s="4">
        <f t="shared" si="18"/>
        <v>300000</v>
      </c>
      <c r="H282" s="4">
        <f t="shared" si="19"/>
        <v>-80000</v>
      </c>
    </row>
    <row r="283" spans="2:8" x14ac:dyDescent="0.35">
      <c r="B283" s="5">
        <v>12799.737540818507</v>
      </c>
      <c r="C283" s="6">
        <f t="shared" si="16"/>
        <v>300000</v>
      </c>
      <c r="D283" s="5">
        <f t="shared" si="17"/>
        <v>395981.62785729545</v>
      </c>
      <c r="F283" s="4">
        <v>6095.492416150395</v>
      </c>
      <c r="G283" s="4">
        <f t="shared" si="18"/>
        <v>300000</v>
      </c>
      <c r="H283" s="4">
        <f t="shared" si="19"/>
        <v>-80000</v>
      </c>
    </row>
    <row r="284" spans="2:8" x14ac:dyDescent="0.35">
      <c r="B284" s="5">
        <v>15821.375164036988</v>
      </c>
      <c r="C284" s="6">
        <f t="shared" si="16"/>
        <v>300000</v>
      </c>
      <c r="D284" s="5">
        <f t="shared" si="17"/>
        <v>550000</v>
      </c>
      <c r="F284" s="4">
        <v>7210.1809747611933</v>
      </c>
      <c r="G284" s="4">
        <f t="shared" si="18"/>
        <v>300000</v>
      </c>
      <c r="H284" s="4">
        <f t="shared" si="19"/>
        <v>-80000</v>
      </c>
    </row>
    <row r="285" spans="2:8" x14ac:dyDescent="0.35">
      <c r="B285" s="5">
        <v>15206.732383190405</v>
      </c>
      <c r="C285" s="6">
        <f t="shared" si="16"/>
        <v>300000</v>
      </c>
      <c r="D285" s="5">
        <f t="shared" si="17"/>
        <v>550000</v>
      </c>
      <c r="F285" s="4">
        <v>5976.6228217413864</v>
      </c>
      <c r="G285" s="4">
        <f t="shared" si="18"/>
        <v>298831.14108706929</v>
      </c>
      <c r="H285" s="4">
        <f t="shared" si="19"/>
        <v>-81636.402478102944</v>
      </c>
    </row>
    <row r="286" spans="2:8" x14ac:dyDescent="0.35">
      <c r="B286" s="5">
        <v>12371.410260322886</v>
      </c>
      <c r="C286" s="6">
        <f t="shared" si="16"/>
        <v>300000</v>
      </c>
      <c r="D286" s="5">
        <f t="shared" si="17"/>
        <v>365998.71822260204</v>
      </c>
      <c r="F286" s="4">
        <v>7962.3096407971434</v>
      </c>
      <c r="G286" s="4">
        <f t="shared" si="18"/>
        <v>300000</v>
      </c>
      <c r="H286" s="4">
        <f t="shared" si="19"/>
        <v>-80000</v>
      </c>
    </row>
    <row r="287" spans="2:8" x14ac:dyDescent="0.35">
      <c r="B287" s="5">
        <v>15399.914548173467</v>
      </c>
      <c r="C287" s="6">
        <f t="shared" si="16"/>
        <v>300000</v>
      </c>
      <c r="D287" s="5">
        <f t="shared" si="17"/>
        <v>550000</v>
      </c>
      <c r="F287" s="4">
        <v>5799.9206518753617</v>
      </c>
      <c r="G287" s="4">
        <f t="shared" si="18"/>
        <v>289996.03259376809</v>
      </c>
      <c r="H287" s="4">
        <f t="shared" si="19"/>
        <v>-94005.554368724697</v>
      </c>
    </row>
    <row r="288" spans="2:8" x14ac:dyDescent="0.35">
      <c r="B288" s="5">
        <v>13789.452803125096</v>
      </c>
      <c r="C288" s="6">
        <f t="shared" si="16"/>
        <v>300000</v>
      </c>
      <c r="D288" s="5">
        <f t="shared" si="17"/>
        <v>465261.69621875673</v>
      </c>
      <c r="F288" s="4">
        <v>7452.80312509537</v>
      </c>
      <c r="G288" s="4">
        <f t="shared" si="18"/>
        <v>300000</v>
      </c>
      <c r="H288" s="4">
        <f t="shared" si="19"/>
        <v>-80000</v>
      </c>
    </row>
    <row r="289" spans="2:8" x14ac:dyDescent="0.35">
      <c r="B289" s="5">
        <v>15568.987090670493</v>
      </c>
      <c r="C289" s="6">
        <f t="shared" si="16"/>
        <v>300000</v>
      </c>
      <c r="D289" s="5">
        <f t="shared" si="17"/>
        <v>550000</v>
      </c>
      <c r="F289" s="4">
        <v>4846.5224158452102</v>
      </c>
      <c r="G289" s="4">
        <f t="shared" si="18"/>
        <v>242326.12079226051</v>
      </c>
      <c r="H289" s="4">
        <f t="shared" si="19"/>
        <v>-160743.4308908353</v>
      </c>
    </row>
    <row r="290" spans="2:8" x14ac:dyDescent="0.35">
      <c r="B290" s="5">
        <v>13768.852809228798</v>
      </c>
      <c r="C290" s="6">
        <f t="shared" si="16"/>
        <v>300000</v>
      </c>
      <c r="D290" s="5">
        <f t="shared" si="17"/>
        <v>463819.69664601586</v>
      </c>
      <c r="F290" s="4">
        <v>4560.8691671498764</v>
      </c>
      <c r="G290" s="4">
        <f t="shared" si="18"/>
        <v>228043.45835749383</v>
      </c>
      <c r="H290" s="4">
        <f t="shared" si="19"/>
        <v>-180739.15829950868</v>
      </c>
    </row>
    <row r="291" spans="2:8" x14ac:dyDescent="0.35">
      <c r="B291" s="5">
        <v>12906.857509079256</v>
      </c>
      <c r="C291" s="6">
        <f t="shared" si="16"/>
        <v>300000</v>
      </c>
      <c r="D291" s="5">
        <f t="shared" si="17"/>
        <v>403480.02563554794</v>
      </c>
      <c r="F291" s="4">
        <v>5372.0511490218814</v>
      </c>
      <c r="G291" s="4">
        <f t="shared" si="18"/>
        <v>268602.55745109409</v>
      </c>
      <c r="H291" s="4">
        <f t="shared" si="19"/>
        <v>-123956.41956846829</v>
      </c>
    </row>
    <row r="292" spans="2:8" x14ac:dyDescent="0.35">
      <c r="B292" s="5">
        <v>13719.718008972442</v>
      </c>
      <c r="C292" s="6">
        <f t="shared" si="16"/>
        <v>300000</v>
      </c>
      <c r="D292" s="5">
        <f t="shared" si="17"/>
        <v>460380.26062807092</v>
      </c>
      <c r="F292" s="4">
        <v>3649.5864741966002</v>
      </c>
      <c r="G292" s="4">
        <f t="shared" si="18"/>
        <v>182479.32370983</v>
      </c>
      <c r="H292" s="4">
        <f t="shared" si="19"/>
        <v>-244528.94680623797</v>
      </c>
    </row>
    <row r="293" spans="2:8" x14ac:dyDescent="0.35">
      <c r="B293" s="5">
        <v>15776.970732749412</v>
      </c>
      <c r="C293" s="6">
        <f t="shared" si="16"/>
        <v>300000</v>
      </c>
      <c r="D293" s="5">
        <f t="shared" si="17"/>
        <v>550000</v>
      </c>
      <c r="F293" s="4">
        <v>7462.5690481276888</v>
      </c>
      <c r="G293" s="4">
        <f t="shared" si="18"/>
        <v>300000</v>
      </c>
      <c r="H293" s="4">
        <f t="shared" si="19"/>
        <v>-80000</v>
      </c>
    </row>
    <row r="294" spans="2:8" x14ac:dyDescent="0.35">
      <c r="B294" s="5">
        <v>16087.191381572924</v>
      </c>
      <c r="C294" s="6">
        <f t="shared" si="16"/>
        <v>300000</v>
      </c>
      <c r="D294" s="5">
        <f t="shared" si="17"/>
        <v>550000</v>
      </c>
      <c r="F294" s="4">
        <v>5250.8926664021728</v>
      </c>
      <c r="G294" s="4">
        <f t="shared" si="18"/>
        <v>262544.63332010864</v>
      </c>
      <c r="H294" s="4">
        <f t="shared" si="19"/>
        <v>-132437.51335184788</v>
      </c>
    </row>
    <row r="295" spans="2:8" x14ac:dyDescent="0.35">
      <c r="B295" s="5">
        <v>13306.8025757622</v>
      </c>
      <c r="C295" s="6">
        <f t="shared" si="16"/>
        <v>300000</v>
      </c>
      <c r="D295" s="5">
        <f t="shared" si="17"/>
        <v>431476.18030335405</v>
      </c>
      <c r="F295" s="4">
        <v>6213.9042329172644</v>
      </c>
      <c r="G295" s="4">
        <f t="shared" si="18"/>
        <v>300000</v>
      </c>
      <c r="H295" s="4">
        <f t="shared" si="19"/>
        <v>-80000</v>
      </c>
    </row>
    <row r="296" spans="2:8" x14ac:dyDescent="0.35">
      <c r="B296" s="5">
        <v>16911.038544877469</v>
      </c>
      <c r="C296" s="6">
        <f t="shared" si="16"/>
        <v>300000</v>
      </c>
      <c r="D296" s="5">
        <f t="shared" si="17"/>
        <v>550000</v>
      </c>
      <c r="F296" s="4">
        <v>6812.3722037415691</v>
      </c>
      <c r="G296" s="4">
        <f t="shared" si="18"/>
        <v>300000</v>
      </c>
      <c r="H296" s="4">
        <f t="shared" si="19"/>
        <v>-80000</v>
      </c>
    </row>
    <row r="297" spans="2:8" x14ac:dyDescent="0.35">
      <c r="B297" s="5">
        <v>13665.700247199928</v>
      </c>
      <c r="C297" s="6">
        <f t="shared" si="16"/>
        <v>300000</v>
      </c>
      <c r="D297" s="5">
        <f t="shared" si="17"/>
        <v>456599.01730399497</v>
      </c>
      <c r="F297" s="4">
        <v>7638.6608478041926</v>
      </c>
      <c r="G297" s="4">
        <f t="shared" si="18"/>
        <v>300000</v>
      </c>
      <c r="H297" s="4">
        <f t="shared" si="19"/>
        <v>-80000</v>
      </c>
    </row>
    <row r="298" spans="2:8" x14ac:dyDescent="0.35">
      <c r="B298" s="5">
        <v>13128.421887874996</v>
      </c>
      <c r="C298" s="6">
        <f t="shared" si="16"/>
        <v>300000</v>
      </c>
      <c r="D298" s="5">
        <f t="shared" si="17"/>
        <v>418989.5321512497</v>
      </c>
      <c r="F298" s="4">
        <v>5545.0910977507856</v>
      </c>
      <c r="G298" s="4">
        <f t="shared" si="18"/>
        <v>277254.5548875393</v>
      </c>
      <c r="H298" s="4">
        <f t="shared" si="19"/>
        <v>-111843.62315744499</v>
      </c>
    </row>
    <row r="299" spans="2:8" x14ac:dyDescent="0.35">
      <c r="B299" s="5">
        <v>15771.782586138494</v>
      </c>
      <c r="C299" s="6">
        <f t="shared" si="16"/>
        <v>300000</v>
      </c>
      <c r="D299" s="5">
        <f t="shared" si="17"/>
        <v>550000</v>
      </c>
      <c r="F299" s="4">
        <v>3420.5450605792412</v>
      </c>
      <c r="G299" s="4">
        <f t="shared" si="18"/>
        <v>171027.25302896206</v>
      </c>
      <c r="H299" s="4">
        <f t="shared" si="19"/>
        <v>-260561.84575945311</v>
      </c>
    </row>
    <row r="300" spans="2:8" x14ac:dyDescent="0.35">
      <c r="B300" s="5">
        <v>16610.431226538894</v>
      </c>
      <c r="C300" s="6">
        <f t="shared" si="16"/>
        <v>300000</v>
      </c>
      <c r="D300" s="5">
        <f t="shared" si="17"/>
        <v>550000</v>
      </c>
      <c r="F300" s="4">
        <v>4255.2262947477648</v>
      </c>
      <c r="G300" s="4">
        <f t="shared" si="18"/>
        <v>212761.31473738822</v>
      </c>
      <c r="H300" s="4">
        <f t="shared" si="19"/>
        <v>-202134.15936765645</v>
      </c>
    </row>
    <row r="301" spans="2:8" x14ac:dyDescent="0.35">
      <c r="B301" s="5">
        <v>14701.345866267891</v>
      </c>
      <c r="C301" s="6">
        <f t="shared" si="16"/>
        <v>300000</v>
      </c>
      <c r="D301" s="5">
        <f t="shared" si="17"/>
        <v>529094.21063875244</v>
      </c>
      <c r="F301" s="4">
        <v>3130.4666280098882</v>
      </c>
      <c r="G301" s="4">
        <f t="shared" si="18"/>
        <v>156523.33140049441</v>
      </c>
      <c r="H301" s="4">
        <f t="shared" si="19"/>
        <v>-280867.33603930782</v>
      </c>
    </row>
    <row r="302" spans="2:8" x14ac:dyDescent="0.35">
      <c r="B302" s="5">
        <v>15373.05825983459</v>
      </c>
      <c r="C302" s="6">
        <f t="shared" si="16"/>
        <v>300000</v>
      </c>
      <c r="D302" s="5">
        <f t="shared" si="17"/>
        <v>550000</v>
      </c>
      <c r="F302" s="4">
        <v>5577.5933103427233</v>
      </c>
      <c r="G302" s="4">
        <f t="shared" si="18"/>
        <v>278879.66551713616</v>
      </c>
      <c r="H302" s="4">
        <f t="shared" si="19"/>
        <v>-109568.46827600937</v>
      </c>
    </row>
    <row r="303" spans="2:8" x14ac:dyDescent="0.35">
      <c r="B303" s="5">
        <v>15729.514450514238</v>
      </c>
      <c r="C303" s="6">
        <f t="shared" si="16"/>
        <v>300000</v>
      </c>
      <c r="D303" s="5">
        <f t="shared" si="17"/>
        <v>550000</v>
      </c>
      <c r="F303" s="4">
        <v>3886.4101077303385</v>
      </c>
      <c r="G303" s="4">
        <f t="shared" si="18"/>
        <v>194320.50538651692</v>
      </c>
      <c r="H303" s="4">
        <f t="shared" si="19"/>
        <v>-227951.29245887633</v>
      </c>
    </row>
    <row r="304" spans="2:8" x14ac:dyDescent="0.35">
      <c r="B304" s="5">
        <v>13431.775872066408</v>
      </c>
      <c r="C304" s="6">
        <f t="shared" si="16"/>
        <v>300000</v>
      </c>
      <c r="D304" s="5">
        <f t="shared" si="17"/>
        <v>440224.31104464852</v>
      </c>
      <c r="F304" s="4">
        <v>5903.6835840937529</v>
      </c>
      <c r="G304" s="4">
        <f t="shared" si="18"/>
        <v>295184.17920468765</v>
      </c>
      <c r="H304" s="4">
        <f t="shared" si="19"/>
        <v>-86742.149113437277</v>
      </c>
    </row>
    <row r="305" spans="2:8" x14ac:dyDescent="0.35">
      <c r="B305" s="5">
        <v>13850.79500717185</v>
      </c>
      <c r="C305" s="6">
        <f t="shared" si="16"/>
        <v>300000</v>
      </c>
      <c r="D305" s="5">
        <f t="shared" si="17"/>
        <v>469555.65050202946</v>
      </c>
      <c r="F305" s="4">
        <v>4839.5031586657306</v>
      </c>
      <c r="G305" s="4">
        <f t="shared" si="18"/>
        <v>241975.15793328654</v>
      </c>
      <c r="H305" s="4">
        <f t="shared" si="19"/>
        <v>-161234.77889339888</v>
      </c>
    </row>
    <row r="306" spans="2:8" x14ac:dyDescent="0.35">
      <c r="B306" s="5">
        <v>14991.119113742485</v>
      </c>
      <c r="C306" s="6">
        <f t="shared" si="16"/>
        <v>300000</v>
      </c>
      <c r="D306" s="5">
        <f t="shared" si="17"/>
        <v>549378.33796197386</v>
      </c>
      <c r="F306" s="4">
        <v>3115.5125583666495</v>
      </c>
      <c r="G306" s="4">
        <f t="shared" si="18"/>
        <v>155775.62791833247</v>
      </c>
      <c r="H306" s="4">
        <f t="shared" si="19"/>
        <v>-281914.12091433455</v>
      </c>
    </row>
    <row r="307" spans="2:8" x14ac:dyDescent="0.35">
      <c r="B307" s="5">
        <v>12949.430829798273</v>
      </c>
      <c r="C307" s="6">
        <f t="shared" si="16"/>
        <v>300000</v>
      </c>
      <c r="D307" s="5">
        <f t="shared" si="17"/>
        <v>406460.15808587917</v>
      </c>
      <c r="F307" s="4">
        <v>5397.2289193395791</v>
      </c>
      <c r="G307" s="4">
        <f t="shared" si="18"/>
        <v>269861.44596697896</v>
      </c>
      <c r="H307" s="4">
        <f t="shared" si="19"/>
        <v>-122193.97564622946</v>
      </c>
    </row>
    <row r="308" spans="2:8" x14ac:dyDescent="0.35">
      <c r="B308" s="5">
        <v>16721.213415936767</v>
      </c>
      <c r="C308" s="6">
        <f t="shared" si="16"/>
        <v>300000</v>
      </c>
      <c r="D308" s="5">
        <f t="shared" si="17"/>
        <v>550000</v>
      </c>
      <c r="F308" s="4">
        <v>7640.3393658253735</v>
      </c>
      <c r="G308" s="4">
        <f t="shared" si="18"/>
        <v>300000</v>
      </c>
      <c r="H308" s="4">
        <f t="shared" si="19"/>
        <v>-80000</v>
      </c>
    </row>
    <row r="309" spans="2:8" x14ac:dyDescent="0.35">
      <c r="B309" s="5">
        <v>14612.23181859798</v>
      </c>
      <c r="C309" s="6">
        <f t="shared" si="16"/>
        <v>300000</v>
      </c>
      <c r="D309" s="5">
        <f t="shared" si="17"/>
        <v>522856.2273018586</v>
      </c>
      <c r="F309" s="4">
        <v>4894.7416608172862</v>
      </c>
      <c r="G309" s="4">
        <f t="shared" si="18"/>
        <v>244737.08304086432</v>
      </c>
      <c r="H309" s="4">
        <f t="shared" si="19"/>
        <v>-157368.08374278998</v>
      </c>
    </row>
    <row r="310" spans="2:8" x14ac:dyDescent="0.35">
      <c r="B310" s="5">
        <v>14382.732627338481</v>
      </c>
      <c r="C310" s="6">
        <f t="shared" si="16"/>
        <v>300000</v>
      </c>
      <c r="D310" s="5">
        <f t="shared" si="17"/>
        <v>506791.28391369362</v>
      </c>
      <c r="F310" s="4">
        <v>4938.0779442732019</v>
      </c>
      <c r="G310" s="4">
        <f t="shared" si="18"/>
        <v>246903.89721366009</v>
      </c>
      <c r="H310" s="4">
        <f t="shared" si="19"/>
        <v>-154334.54390087584</v>
      </c>
    </row>
    <row r="311" spans="2:8" x14ac:dyDescent="0.35">
      <c r="B311" s="5">
        <v>14053.89568773461</v>
      </c>
      <c r="C311" s="6">
        <f t="shared" si="16"/>
        <v>300000</v>
      </c>
      <c r="D311" s="5">
        <f t="shared" si="17"/>
        <v>483772.6981414227</v>
      </c>
      <c r="F311" s="4">
        <v>5615.5888546403394</v>
      </c>
      <c r="G311" s="4">
        <f t="shared" si="18"/>
        <v>280779.44273201696</v>
      </c>
      <c r="H311" s="4">
        <f t="shared" si="19"/>
        <v>-106908.78017517622</v>
      </c>
    </row>
    <row r="312" spans="2:8" x14ac:dyDescent="0.35">
      <c r="B312" s="5">
        <v>12650.3494369335</v>
      </c>
      <c r="C312" s="6">
        <f t="shared" si="16"/>
        <v>300000</v>
      </c>
      <c r="D312" s="5">
        <f t="shared" si="17"/>
        <v>385524.46058534505</v>
      </c>
      <c r="F312" s="4">
        <v>4976.073488570818</v>
      </c>
      <c r="G312" s="4">
        <f t="shared" si="18"/>
        <v>248803.67442854089</v>
      </c>
      <c r="H312" s="4">
        <f t="shared" si="19"/>
        <v>-151674.85580004274</v>
      </c>
    </row>
    <row r="313" spans="2:8" x14ac:dyDescent="0.35">
      <c r="B313" s="5">
        <v>12857.112338633382</v>
      </c>
      <c r="C313" s="6">
        <f t="shared" si="16"/>
        <v>300000</v>
      </c>
      <c r="D313" s="5">
        <f t="shared" si="17"/>
        <v>399997.86370433669</v>
      </c>
      <c r="F313" s="4">
        <v>3767.6931058687096</v>
      </c>
      <c r="G313" s="4">
        <f t="shared" si="18"/>
        <v>188384.65529343547</v>
      </c>
      <c r="H313" s="4">
        <f t="shared" si="19"/>
        <v>-236261.4825891903</v>
      </c>
    </row>
    <row r="314" spans="2:8" x14ac:dyDescent="0.35">
      <c r="B314" s="5">
        <v>15271.279030732139</v>
      </c>
      <c r="C314" s="6">
        <f t="shared" si="16"/>
        <v>300000</v>
      </c>
      <c r="D314" s="5">
        <f t="shared" si="17"/>
        <v>550000</v>
      </c>
      <c r="F314" s="4">
        <v>6117.4657429731133</v>
      </c>
      <c r="G314" s="4">
        <f t="shared" si="18"/>
        <v>300000</v>
      </c>
      <c r="H314" s="4">
        <f t="shared" si="19"/>
        <v>-80000</v>
      </c>
    </row>
    <row r="315" spans="2:8" x14ac:dyDescent="0.35">
      <c r="B315" s="5">
        <v>13357.310708944975</v>
      </c>
      <c r="C315" s="6">
        <f t="shared" si="16"/>
        <v>300000</v>
      </c>
      <c r="D315" s="5">
        <f t="shared" si="17"/>
        <v>435011.74962614826</v>
      </c>
      <c r="F315" s="4">
        <v>7364.6046327097383</v>
      </c>
      <c r="G315" s="4">
        <f t="shared" si="18"/>
        <v>300000</v>
      </c>
      <c r="H315" s="4">
        <f t="shared" si="19"/>
        <v>-80000</v>
      </c>
    </row>
    <row r="316" spans="2:8" x14ac:dyDescent="0.35">
      <c r="B316" s="5">
        <v>12320.749534592731</v>
      </c>
      <c r="C316" s="6">
        <f t="shared" si="16"/>
        <v>300000</v>
      </c>
      <c r="D316" s="5">
        <f t="shared" si="17"/>
        <v>362452.46742149116</v>
      </c>
      <c r="F316" s="4">
        <v>7823.6030152287367</v>
      </c>
      <c r="G316" s="4">
        <f t="shared" si="18"/>
        <v>300000</v>
      </c>
      <c r="H316" s="4">
        <f t="shared" si="19"/>
        <v>-80000</v>
      </c>
    </row>
    <row r="317" spans="2:8" x14ac:dyDescent="0.35">
      <c r="B317" s="5">
        <v>15645.130771813105</v>
      </c>
      <c r="C317" s="6">
        <f t="shared" si="16"/>
        <v>300000</v>
      </c>
      <c r="D317" s="5">
        <f t="shared" si="17"/>
        <v>550000</v>
      </c>
      <c r="F317" s="4">
        <v>4076.6930143131813</v>
      </c>
      <c r="G317" s="4">
        <f t="shared" si="18"/>
        <v>203834.65071565905</v>
      </c>
      <c r="H317" s="4">
        <f t="shared" si="19"/>
        <v>-214631.48899807729</v>
      </c>
    </row>
    <row r="318" spans="2:8" x14ac:dyDescent="0.35">
      <c r="B318" s="5">
        <v>12886.257515182959</v>
      </c>
      <c r="C318" s="6">
        <f t="shared" si="16"/>
        <v>300000</v>
      </c>
      <c r="D318" s="5">
        <f t="shared" si="17"/>
        <v>402038.02606280707</v>
      </c>
      <c r="F318" s="4">
        <v>4230.658894619587</v>
      </c>
      <c r="G318" s="4">
        <f t="shared" si="18"/>
        <v>211532.94473097936</v>
      </c>
      <c r="H318" s="4">
        <f t="shared" si="19"/>
        <v>-203853.87737662892</v>
      </c>
    </row>
    <row r="319" spans="2:8" x14ac:dyDescent="0.35">
      <c r="B319" s="5">
        <v>13443.830683309427</v>
      </c>
      <c r="C319" s="6">
        <f t="shared" si="16"/>
        <v>300000</v>
      </c>
      <c r="D319" s="5">
        <f t="shared" si="17"/>
        <v>441068.14783165988</v>
      </c>
      <c r="F319" s="4">
        <v>4116.2144840845976</v>
      </c>
      <c r="G319" s="4">
        <f t="shared" si="18"/>
        <v>205810.72420422989</v>
      </c>
      <c r="H319" s="4">
        <f t="shared" si="19"/>
        <v>-211864.98611407814</v>
      </c>
    </row>
    <row r="320" spans="2:8" x14ac:dyDescent="0.35">
      <c r="B320" s="5">
        <v>15658.101138340404</v>
      </c>
      <c r="C320" s="6">
        <f t="shared" si="16"/>
        <v>300000</v>
      </c>
      <c r="D320" s="5">
        <f t="shared" si="17"/>
        <v>550000</v>
      </c>
      <c r="F320" s="4">
        <v>4655.323953978088</v>
      </c>
      <c r="G320" s="4">
        <f t="shared" si="18"/>
        <v>232766.19769890441</v>
      </c>
      <c r="H320" s="4">
        <f t="shared" si="19"/>
        <v>-174127.32322153385</v>
      </c>
    </row>
    <row r="321" spans="2:8" x14ac:dyDescent="0.35">
      <c r="B321" s="5">
        <v>12664.693136387219</v>
      </c>
      <c r="C321" s="6">
        <f t="shared" si="16"/>
        <v>300000</v>
      </c>
      <c r="D321" s="5">
        <f t="shared" si="17"/>
        <v>386528.5195471053</v>
      </c>
      <c r="F321" s="4">
        <v>6237.0983001190225</v>
      </c>
      <c r="G321" s="4">
        <f t="shared" si="18"/>
        <v>300000</v>
      </c>
      <c r="H321" s="4">
        <f t="shared" si="19"/>
        <v>-80000</v>
      </c>
    </row>
    <row r="322" spans="2:8" x14ac:dyDescent="0.35">
      <c r="B322" s="5">
        <v>12266.273995178075</v>
      </c>
      <c r="C322" s="6">
        <f t="shared" si="16"/>
        <v>300000</v>
      </c>
      <c r="D322" s="5">
        <f t="shared" si="17"/>
        <v>358639.17966246523</v>
      </c>
      <c r="F322" s="4">
        <v>3034.7911008026367</v>
      </c>
      <c r="G322" s="4">
        <f t="shared" si="18"/>
        <v>151739.55504013185</v>
      </c>
      <c r="H322" s="4">
        <f t="shared" si="19"/>
        <v>-287564.62294381543</v>
      </c>
    </row>
    <row r="323" spans="2:8" x14ac:dyDescent="0.35">
      <c r="B323" s="5">
        <v>14386.70003357036</v>
      </c>
      <c r="C323" s="6">
        <f t="shared" si="16"/>
        <v>300000</v>
      </c>
      <c r="D323" s="5">
        <f t="shared" si="17"/>
        <v>507069.00234992523</v>
      </c>
      <c r="F323" s="4">
        <v>7092.5321207312236</v>
      </c>
      <c r="G323" s="4">
        <f t="shared" si="18"/>
        <v>300000</v>
      </c>
      <c r="H323" s="4">
        <f t="shared" si="19"/>
        <v>-80000</v>
      </c>
    </row>
    <row r="324" spans="2:8" x14ac:dyDescent="0.35">
      <c r="B324" s="5">
        <v>14378.765221106602</v>
      </c>
      <c r="C324" s="6">
        <f t="shared" si="16"/>
        <v>300000</v>
      </c>
      <c r="D324" s="5">
        <f t="shared" si="17"/>
        <v>506513.56547746214</v>
      </c>
      <c r="F324" s="4">
        <v>6828.0892361217084</v>
      </c>
      <c r="G324" s="4">
        <f t="shared" si="18"/>
        <v>300000</v>
      </c>
      <c r="H324" s="4">
        <f t="shared" si="19"/>
        <v>-80000</v>
      </c>
    </row>
    <row r="325" spans="2:8" x14ac:dyDescent="0.35">
      <c r="B325" s="5">
        <v>15457.899716177863</v>
      </c>
      <c r="C325" s="6">
        <f t="shared" si="16"/>
        <v>300000</v>
      </c>
      <c r="D325" s="5">
        <f t="shared" si="17"/>
        <v>550000</v>
      </c>
      <c r="F325" s="4">
        <v>3612.5064851832635</v>
      </c>
      <c r="G325" s="4">
        <f t="shared" si="18"/>
        <v>180625.32425916317</v>
      </c>
      <c r="H325" s="4">
        <f t="shared" si="19"/>
        <v>-247124.54603717156</v>
      </c>
    </row>
    <row r="326" spans="2:8" x14ac:dyDescent="0.35">
      <c r="B326" s="5">
        <v>16210.486159855953</v>
      </c>
      <c r="C326" s="6">
        <f t="shared" si="16"/>
        <v>300000</v>
      </c>
      <c r="D326" s="5">
        <f t="shared" si="17"/>
        <v>550000</v>
      </c>
      <c r="F326" s="4">
        <v>7635.9141819513534</v>
      </c>
      <c r="G326" s="4">
        <f t="shared" si="18"/>
        <v>300000</v>
      </c>
      <c r="H326" s="4">
        <f t="shared" si="19"/>
        <v>-80000</v>
      </c>
    </row>
    <row r="327" spans="2:8" x14ac:dyDescent="0.35">
      <c r="B327" s="5">
        <v>13016.113773003326</v>
      </c>
      <c r="C327" s="6">
        <f t="shared" si="16"/>
        <v>300000</v>
      </c>
      <c r="D327" s="5">
        <f t="shared" si="17"/>
        <v>411127.96411023277</v>
      </c>
      <c r="F327" s="4">
        <v>7882.1985534226505</v>
      </c>
      <c r="G327" s="4">
        <f t="shared" si="18"/>
        <v>300000</v>
      </c>
      <c r="H327" s="4">
        <f t="shared" si="19"/>
        <v>-80000</v>
      </c>
    </row>
    <row r="328" spans="2:8" x14ac:dyDescent="0.35">
      <c r="B328" s="5">
        <v>14811.365092928861</v>
      </c>
      <c r="C328" s="6">
        <f t="shared" si="16"/>
        <v>300000</v>
      </c>
      <c r="D328" s="5">
        <f t="shared" si="17"/>
        <v>536795.55650502036</v>
      </c>
      <c r="F328" s="4">
        <v>6354.2893765068511</v>
      </c>
      <c r="G328" s="4">
        <f t="shared" si="18"/>
        <v>300000</v>
      </c>
      <c r="H328" s="4">
        <f t="shared" si="19"/>
        <v>-80000</v>
      </c>
    </row>
    <row r="329" spans="2:8" x14ac:dyDescent="0.35">
      <c r="B329" s="5">
        <v>12083.162938322092</v>
      </c>
      <c r="C329" s="6">
        <f t="shared" si="16"/>
        <v>300000</v>
      </c>
      <c r="D329" s="5">
        <f t="shared" si="17"/>
        <v>345821.40568254644</v>
      </c>
      <c r="F329" s="4">
        <v>7326.3039033173618</v>
      </c>
      <c r="G329" s="4">
        <f t="shared" si="18"/>
        <v>300000</v>
      </c>
      <c r="H329" s="4">
        <f t="shared" si="19"/>
        <v>-80000</v>
      </c>
    </row>
    <row r="330" spans="2:8" x14ac:dyDescent="0.35">
      <c r="B330" s="5">
        <v>16911.954100161747</v>
      </c>
      <c r="C330" s="6">
        <f t="shared" si="16"/>
        <v>300000</v>
      </c>
      <c r="D330" s="5">
        <f t="shared" si="17"/>
        <v>550000</v>
      </c>
      <c r="F330" s="4">
        <v>5682.8821680349129</v>
      </c>
      <c r="G330" s="4">
        <f t="shared" si="18"/>
        <v>284144.10840174562</v>
      </c>
      <c r="H330" s="4">
        <f t="shared" si="19"/>
        <v>-102198.24823755608</v>
      </c>
    </row>
    <row r="331" spans="2:8" x14ac:dyDescent="0.35">
      <c r="B331" s="5">
        <v>16142.582476271858</v>
      </c>
      <c r="C331" s="6">
        <f t="shared" si="16"/>
        <v>300000</v>
      </c>
      <c r="D331" s="5">
        <f t="shared" si="17"/>
        <v>550000</v>
      </c>
      <c r="F331" s="4">
        <v>7983.6725974303417</v>
      </c>
      <c r="G331" s="4">
        <f t="shared" si="18"/>
        <v>300000</v>
      </c>
      <c r="H331" s="4">
        <f t="shared" si="19"/>
        <v>-80000</v>
      </c>
    </row>
    <row r="332" spans="2:8" x14ac:dyDescent="0.35">
      <c r="B332" s="5">
        <v>13850.48982207709</v>
      </c>
      <c r="C332" s="6">
        <f t="shared" ref="C332:C395" si="20">50*MIN(B332,6000)</f>
        <v>300000</v>
      </c>
      <c r="D332" s="5">
        <f t="shared" ref="D332:D395" si="21">70*MIN(B332,15000)-500000</f>
        <v>469534.28754539636</v>
      </c>
      <c r="F332" s="4">
        <v>7902.4933622241888</v>
      </c>
      <c r="G332" s="4">
        <f t="shared" ref="G332:G395" si="22">50*MIN(F332,6000)</f>
        <v>300000</v>
      </c>
      <c r="H332" s="4">
        <f t="shared" ref="H332:H395" si="23">70*MIN(F332,6000)-500000</f>
        <v>-80000</v>
      </c>
    </row>
    <row r="333" spans="2:8" x14ac:dyDescent="0.35">
      <c r="B333" s="5">
        <v>12375.530259102146</v>
      </c>
      <c r="C333" s="6">
        <f t="shared" si="20"/>
        <v>300000</v>
      </c>
      <c r="D333" s="5">
        <f t="shared" si="21"/>
        <v>366287.1181371503</v>
      </c>
      <c r="F333" s="4">
        <v>3384.5332193975646</v>
      </c>
      <c r="G333" s="4">
        <f t="shared" si="22"/>
        <v>169226.66096987823</v>
      </c>
      <c r="H333" s="4">
        <f t="shared" si="23"/>
        <v>-263082.67464217049</v>
      </c>
    </row>
    <row r="334" spans="2:8" x14ac:dyDescent="0.35">
      <c r="B334" s="5">
        <v>15805.81072420423</v>
      </c>
      <c r="C334" s="6">
        <f t="shared" si="20"/>
        <v>300000</v>
      </c>
      <c r="D334" s="5">
        <f t="shared" si="21"/>
        <v>550000</v>
      </c>
      <c r="F334" s="4">
        <v>6619.8004089480273</v>
      </c>
      <c r="G334" s="4">
        <f t="shared" si="22"/>
        <v>300000</v>
      </c>
      <c r="H334" s="4">
        <f t="shared" si="23"/>
        <v>-80000</v>
      </c>
    </row>
    <row r="335" spans="2:8" x14ac:dyDescent="0.35">
      <c r="B335" s="5">
        <v>14141.483809930724</v>
      </c>
      <c r="C335" s="6">
        <f t="shared" si="20"/>
        <v>300000</v>
      </c>
      <c r="D335" s="5">
        <f t="shared" si="21"/>
        <v>489903.86669515062</v>
      </c>
      <c r="F335" s="4">
        <v>4175.1152073732719</v>
      </c>
      <c r="G335" s="4">
        <f t="shared" si="22"/>
        <v>208755.76036866358</v>
      </c>
      <c r="H335" s="4">
        <f t="shared" si="23"/>
        <v>-207741.93548387097</v>
      </c>
    </row>
    <row r="336" spans="2:8" x14ac:dyDescent="0.35">
      <c r="B336" s="5">
        <v>13829.584643086031</v>
      </c>
      <c r="C336" s="6">
        <f t="shared" si="20"/>
        <v>300000</v>
      </c>
      <c r="D336" s="5">
        <f t="shared" si="21"/>
        <v>468070.92501602217</v>
      </c>
      <c r="F336" s="4">
        <v>3307.0162053285317</v>
      </c>
      <c r="G336" s="4">
        <f t="shared" si="22"/>
        <v>165350.81026642659</v>
      </c>
      <c r="H336" s="4">
        <f t="shared" si="23"/>
        <v>-268508.86562700279</v>
      </c>
    </row>
    <row r="337" spans="2:8" x14ac:dyDescent="0.35">
      <c r="B337" s="5">
        <v>16457.991271706291</v>
      </c>
      <c r="C337" s="6">
        <f t="shared" si="20"/>
        <v>300000</v>
      </c>
      <c r="D337" s="5">
        <f t="shared" si="21"/>
        <v>550000</v>
      </c>
      <c r="F337" s="4">
        <v>7273.0491042817466</v>
      </c>
      <c r="G337" s="4">
        <f t="shared" si="22"/>
        <v>300000</v>
      </c>
      <c r="H337" s="4">
        <f t="shared" si="23"/>
        <v>-80000</v>
      </c>
    </row>
    <row r="338" spans="2:8" x14ac:dyDescent="0.35">
      <c r="B338" s="5">
        <v>13659.138767662587</v>
      </c>
      <c r="C338" s="6">
        <f t="shared" si="20"/>
        <v>300000</v>
      </c>
      <c r="D338" s="5">
        <f t="shared" si="21"/>
        <v>456139.71373638115</v>
      </c>
      <c r="F338" s="4">
        <v>3523.6976226081119</v>
      </c>
      <c r="G338" s="4">
        <f t="shared" si="22"/>
        <v>176184.88113040559</v>
      </c>
      <c r="H338" s="4">
        <f t="shared" si="23"/>
        <v>-253341.16641743216</v>
      </c>
    </row>
    <row r="339" spans="2:8" x14ac:dyDescent="0.35">
      <c r="B339" s="5">
        <v>13805.780205694755</v>
      </c>
      <c r="C339" s="6">
        <f t="shared" si="20"/>
        <v>300000</v>
      </c>
      <c r="D339" s="5">
        <f t="shared" si="21"/>
        <v>466404.6143986329</v>
      </c>
      <c r="F339" s="4">
        <v>6124.3324076052122</v>
      </c>
      <c r="G339" s="4">
        <f t="shared" si="22"/>
        <v>300000</v>
      </c>
      <c r="H339" s="4">
        <f t="shared" si="23"/>
        <v>-80000</v>
      </c>
    </row>
    <row r="340" spans="2:8" x14ac:dyDescent="0.35">
      <c r="B340" s="5">
        <v>14587.664418469802</v>
      </c>
      <c r="C340" s="6">
        <f t="shared" si="20"/>
        <v>300000</v>
      </c>
      <c r="D340" s="5">
        <f t="shared" si="21"/>
        <v>521136.50929288613</v>
      </c>
      <c r="F340" s="4">
        <v>4369.3655201879938</v>
      </c>
      <c r="G340" s="4">
        <f t="shared" si="22"/>
        <v>218468.27600939968</v>
      </c>
      <c r="H340" s="4">
        <f t="shared" si="23"/>
        <v>-194144.41358684044</v>
      </c>
    </row>
    <row r="341" spans="2:8" x14ac:dyDescent="0.35">
      <c r="B341" s="5">
        <v>16660.176396984771</v>
      </c>
      <c r="C341" s="6">
        <f t="shared" si="20"/>
        <v>300000</v>
      </c>
      <c r="D341" s="5">
        <f t="shared" si="21"/>
        <v>550000</v>
      </c>
      <c r="F341" s="4">
        <v>3678.4264656514179</v>
      </c>
      <c r="G341" s="4">
        <f t="shared" si="22"/>
        <v>183921.3232825709</v>
      </c>
      <c r="H341" s="4">
        <f t="shared" si="23"/>
        <v>-242510.14740440075</v>
      </c>
    </row>
    <row r="342" spans="2:8" x14ac:dyDescent="0.35">
      <c r="B342" s="5">
        <v>15437.910092471084</v>
      </c>
      <c r="C342" s="6">
        <f t="shared" si="20"/>
        <v>300000</v>
      </c>
      <c r="D342" s="5">
        <f t="shared" si="21"/>
        <v>550000</v>
      </c>
      <c r="F342" s="4">
        <v>4563.3106479079561</v>
      </c>
      <c r="G342" s="4">
        <f t="shared" si="22"/>
        <v>228165.53239539781</v>
      </c>
      <c r="H342" s="4">
        <f t="shared" si="23"/>
        <v>-180568.25464644306</v>
      </c>
    </row>
    <row r="343" spans="2:8" x14ac:dyDescent="0.35">
      <c r="B343" s="5">
        <v>16870.906704916531</v>
      </c>
      <c r="C343" s="6">
        <f t="shared" si="20"/>
        <v>300000</v>
      </c>
      <c r="D343" s="5">
        <f t="shared" si="21"/>
        <v>550000</v>
      </c>
      <c r="F343" s="4">
        <v>5137.821588793604</v>
      </c>
      <c r="G343" s="4">
        <f t="shared" si="22"/>
        <v>256891.07943968021</v>
      </c>
      <c r="H343" s="4">
        <f t="shared" si="23"/>
        <v>-140352.48878444772</v>
      </c>
    </row>
    <row r="344" spans="2:8" x14ac:dyDescent="0.35">
      <c r="B344" s="5">
        <v>13517.83806878872</v>
      </c>
      <c r="C344" s="6">
        <f t="shared" si="20"/>
        <v>300000</v>
      </c>
      <c r="D344" s="5">
        <f t="shared" si="21"/>
        <v>446248.66481521039</v>
      </c>
      <c r="F344" s="4">
        <v>7230.6283761101113</v>
      </c>
      <c r="G344" s="4">
        <f t="shared" si="22"/>
        <v>300000</v>
      </c>
      <c r="H344" s="4">
        <f t="shared" si="23"/>
        <v>-80000</v>
      </c>
    </row>
    <row r="345" spans="2:8" x14ac:dyDescent="0.35">
      <c r="B345" s="5">
        <v>15503.067110202337</v>
      </c>
      <c r="C345" s="6">
        <f t="shared" si="20"/>
        <v>300000</v>
      </c>
      <c r="D345" s="5">
        <f t="shared" si="21"/>
        <v>550000</v>
      </c>
      <c r="F345" s="4">
        <v>6494.3693350016783</v>
      </c>
      <c r="G345" s="4">
        <f t="shared" si="22"/>
        <v>300000</v>
      </c>
      <c r="H345" s="4">
        <f t="shared" si="23"/>
        <v>-80000</v>
      </c>
    </row>
    <row r="346" spans="2:8" x14ac:dyDescent="0.35">
      <c r="B346" s="5">
        <v>16979.70519119846</v>
      </c>
      <c r="C346" s="6">
        <f t="shared" si="20"/>
        <v>300000</v>
      </c>
      <c r="D346" s="5">
        <f t="shared" si="21"/>
        <v>550000</v>
      </c>
      <c r="F346" s="4">
        <v>3607.6235236671041</v>
      </c>
      <c r="G346" s="4">
        <f t="shared" si="22"/>
        <v>180381.17618335522</v>
      </c>
      <c r="H346" s="4">
        <f t="shared" si="23"/>
        <v>-247466.3533433027</v>
      </c>
    </row>
    <row r="347" spans="2:8" x14ac:dyDescent="0.35">
      <c r="B347" s="5">
        <v>13121.860408337656</v>
      </c>
      <c r="C347" s="6">
        <f t="shared" si="20"/>
        <v>300000</v>
      </c>
      <c r="D347" s="5">
        <f t="shared" si="21"/>
        <v>418530.22858363588</v>
      </c>
      <c r="F347" s="4">
        <v>5460.860011597033</v>
      </c>
      <c r="G347" s="4">
        <f t="shared" si="22"/>
        <v>273043.00057985168</v>
      </c>
      <c r="H347" s="4">
        <f t="shared" si="23"/>
        <v>-117739.79918820772</v>
      </c>
    </row>
    <row r="348" spans="2:8" x14ac:dyDescent="0.35">
      <c r="B348" s="5">
        <v>16873.043000579852</v>
      </c>
      <c r="C348" s="6">
        <f t="shared" si="20"/>
        <v>300000</v>
      </c>
      <c r="D348" s="5">
        <f t="shared" si="21"/>
        <v>550000</v>
      </c>
      <c r="F348" s="4">
        <v>4098.2085634937594</v>
      </c>
      <c r="G348" s="4">
        <f t="shared" si="22"/>
        <v>204910.42817468796</v>
      </c>
      <c r="H348" s="4">
        <f t="shared" si="23"/>
        <v>-213125.40055543685</v>
      </c>
    </row>
    <row r="349" spans="2:8" x14ac:dyDescent="0.35">
      <c r="B349" s="5">
        <v>14903.988769188512</v>
      </c>
      <c r="C349" s="6">
        <f t="shared" si="20"/>
        <v>300000</v>
      </c>
      <c r="D349" s="5">
        <f t="shared" si="21"/>
        <v>543279.21384319582</v>
      </c>
      <c r="F349" s="4">
        <v>6765.6788842432943</v>
      </c>
      <c r="G349" s="4">
        <f t="shared" si="22"/>
        <v>300000</v>
      </c>
      <c r="H349" s="4">
        <f t="shared" si="23"/>
        <v>-80000</v>
      </c>
    </row>
    <row r="350" spans="2:8" x14ac:dyDescent="0.35">
      <c r="B350" s="5">
        <v>13004.058961760307</v>
      </c>
      <c r="C350" s="6">
        <f t="shared" si="20"/>
        <v>300000</v>
      </c>
      <c r="D350" s="5">
        <f t="shared" si="21"/>
        <v>410284.12732322153</v>
      </c>
      <c r="F350" s="4">
        <v>7016.0832544938512</v>
      </c>
      <c r="G350" s="4">
        <f t="shared" si="22"/>
        <v>300000</v>
      </c>
      <c r="H350" s="4">
        <f t="shared" si="23"/>
        <v>-80000</v>
      </c>
    </row>
    <row r="351" spans="2:8" x14ac:dyDescent="0.35">
      <c r="B351" s="5">
        <v>14485.274819177832</v>
      </c>
      <c r="C351" s="6">
        <f t="shared" si="20"/>
        <v>300000</v>
      </c>
      <c r="D351" s="5">
        <f t="shared" si="21"/>
        <v>513969.23734244821</v>
      </c>
      <c r="F351" s="4">
        <v>7032.105471968749</v>
      </c>
      <c r="G351" s="4">
        <f t="shared" si="22"/>
        <v>300000</v>
      </c>
      <c r="H351" s="4">
        <f t="shared" si="23"/>
        <v>-80000</v>
      </c>
    </row>
    <row r="352" spans="2:8" x14ac:dyDescent="0.35">
      <c r="B352" s="5">
        <v>13114.230780968657</v>
      </c>
      <c r="C352" s="6">
        <f t="shared" si="20"/>
        <v>300000</v>
      </c>
      <c r="D352" s="5">
        <f t="shared" si="21"/>
        <v>417996.154667806</v>
      </c>
      <c r="F352" s="4">
        <v>5608.2644123661003</v>
      </c>
      <c r="G352" s="4">
        <f t="shared" si="22"/>
        <v>280413.22061830503</v>
      </c>
      <c r="H352" s="4">
        <f t="shared" si="23"/>
        <v>-107421.49113437301</v>
      </c>
    </row>
    <row r="353" spans="2:8" x14ac:dyDescent="0.35">
      <c r="B353" s="5">
        <v>14257.606738486891</v>
      </c>
      <c r="C353" s="6">
        <f t="shared" si="20"/>
        <v>300000</v>
      </c>
      <c r="D353" s="5">
        <f t="shared" si="21"/>
        <v>498032.47169408237</v>
      </c>
      <c r="F353" s="4">
        <v>3730.002746665853</v>
      </c>
      <c r="G353" s="4">
        <f t="shared" si="22"/>
        <v>186500.13733329266</v>
      </c>
      <c r="H353" s="4">
        <f t="shared" si="23"/>
        <v>-238899.80773339028</v>
      </c>
    </row>
    <row r="354" spans="2:8" x14ac:dyDescent="0.35">
      <c r="B354" s="5">
        <v>13493.881038850062</v>
      </c>
      <c r="C354" s="6">
        <f t="shared" si="20"/>
        <v>300000</v>
      </c>
      <c r="D354" s="5">
        <f t="shared" si="21"/>
        <v>444571.67271950433</v>
      </c>
      <c r="F354" s="4">
        <v>6140.5072176274916</v>
      </c>
      <c r="G354" s="4">
        <f t="shared" si="22"/>
        <v>300000</v>
      </c>
      <c r="H354" s="4">
        <f t="shared" si="23"/>
        <v>-80000</v>
      </c>
    </row>
    <row r="355" spans="2:8" x14ac:dyDescent="0.35">
      <c r="B355" s="5">
        <v>14014.221625415814</v>
      </c>
      <c r="C355" s="6">
        <f t="shared" si="20"/>
        <v>300000</v>
      </c>
      <c r="D355" s="5">
        <f t="shared" si="21"/>
        <v>480995.51377910702</v>
      </c>
      <c r="F355" s="4">
        <v>6099.1546372875146</v>
      </c>
      <c r="G355" s="4">
        <f t="shared" si="22"/>
        <v>300000</v>
      </c>
      <c r="H355" s="4">
        <f t="shared" si="23"/>
        <v>-80000</v>
      </c>
    </row>
    <row r="356" spans="2:8" x14ac:dyDescent="0.35">
      <c r="B356" s="5">
        <v>16580.828272347178</v>
      </c>
      <c r="C356" s="6">
        <f t="shared" si="20"/>
        <v>300000</v>
      </c>
      <c r="D356" s="5">
        <f t="shared" si="21"/>
        <v>550000</v>
      </c>
      <c r="F356" s="4">
        <v>4602.2217474898525</v>
      </c>
      <c r="G356" s="4">
        <f t="shared" si="22"/>
        <v>230111.08737449264</v>
      </c>
      <c r="H356" s="4">
        <f t="shared" si="23"/>
        <v>-177844.47767571034</v>
      </c>
    </row>
    <row r="357" spans="2:8" x14ac:dyDescent="0.35">
      <c r="B357" s="5">
        <v>12551.011688589129</v>
      </c>
      <c r="C357" s="6">
        <f t="shared" si="20"/>
        <v>300000</v>
      </c>
      <c r="D357" s="5">
        <f t="shared" si="21"/>
        <v>378570.8182012391</v>
      </c>
      <c r="F357" s="4">
        <v>6610.0344859157085</v>
      </c>
      <c r="G357" s="4">
        <f t="shared" si="22"/>
        <v>300000</v>
      </c>
      <c r="H357" s="4">
        <f t="shared" si="23"/>
        <v>-80000</v>
      </c>
    </row>
    <row r="358" spans="2:8" x14ac:dyDescent="0.35">
      <c r="B358" s="5">
        <v>12974.30341502121</v>
      </c>
      <c r="C358" s="6">
        <f t="shared" si="20"/>
        <v>300000</v>
      </c>
      <c r="D358" s="5">
        <f t="shared" si="21"/>
        <v>408201.23905148474</v>
      </c>
      <c r="F358" s="4">
        <v>7574.5719779045994</v>
      </c>
      <c r="G358" s="4">
        <f t="shared" si="22"/>
        <v>300000</v>
      </c>
      <c r="H358" s="4">
        <f t="shared" si="23"/>
        <v>-80000</v>
      </c>
    </row>
    <row r="359" spans="2:8" x14ac:dyDescent="0.35">
      <c r="B359" s="5">
        <v>16172.490615558338</v>
      </c>
      <c r="C359" s="6">
        <f t="shared" si="20"/>
        <v>300000</v>
      </c>
      <c r="D359" s="5">
        <f t="shared" si="21"/>
        <v>550000</v>
      </c>
      <c r="F359" s="4">
        <v>7602.3438215277565</v>
      </c>
      <c r="G359" s="4">
        <f t="shared" si="22"/>
        <v>300000</v>
      </c>
      <c r="H359" s="4">
        <f t="shared" si="23"/>
        <v>-80000</v>
      </c>
    </row>
    <row r="360" spans="2:8" x14ac:dyDescent="0.35">
      <c r="B360" s="5">
        <v>12263.069551683097</v>
      </c>
      <c r="C360" s="6">
        <f t="shared" si="20"/>
        <v>300000</v>
      </c>
      <c r="D360" s="5">
        <f t="shared" si="21"/>
        <v>358414.86861781671</v>
      </c>
      <c r="F360" s="4">
        <v>4601.6113773003326</v>
      </c>
      <c r="G360" s="4">
        <f t="shared" si="22"/>
        <v>230080.56886501663</v>
      </c>
      <c r="H360" s="4">
        <f t="shared" si="23"/>
        <v>-177887.2035889767</v>
      </c>
    </row>
    <row r="361" spans="2:8" x14ac:dyDescent="0.35">
      <c r="B361" s="5">
        <v>12168.156987212744</v>
      </c>
      <c r="C361" s="6">
        <f t="shared" si="20"/>
        <v>300000</v>
      </c>
      <c r="D361" s="5">
        <f t="shared" si="21"/>
        <v>351770.98910489213</v>
      </c>
      <c r="F361" s="4">
        <v>7313.4861293374433</v>
      </c>
      <c r="G361" s="4">
        <f t="shared" si="22"/>
        <v>300000</v>
      </c>
      <c r="H361" s="4">
        <f t="shared" si="23"/>
        <v>-80000</v>
      </c>
    </row>
    <row r="362" spans="2:8" x14ac:dyDescent="0.35">
      <c r="B362" s="5">
        <v>14725.60808130131</v>
      </c>
      <c r="C362" s="6">
        <f t="shared" si="20"/>
        <v>300000</v>
      </c>
      <c r="D362" s="5">
        <f t="shared" si="21"/>
        <v>530792.5656910917</v>
      </c>
      <c r="F362" s="4">
        <v>5673.8792077394937</v>
      </c>
      <c r="G362" s="4">
        <f t="shared" si="22"/>
        <v>283693.96038697468</v>
      </c>
      <c r="H362" s="4">
        <f t="shared" si="23"/>
        <v>-102828.45545823546</v>
      </c>
    </row>
    <row r="363" spans="2:8" x14ac:dyDescent="0.35">
      <c r="B363" s="5">
        <v>12322.58064516129</v>
      </c>
      <c r="C363" s="6">
        <f t="shared" si="20"/>
        <v>300000</v>
      </c>
      <c r="D363" s="5">
        <f t="shared" si="21"/>
        <v>362580.6451612903</v>
      </c>
      <c r="F363" s="4">
        <v>5731.5591906491281</v>
      </c>
      <c r="G363" s="4">
        <f t="shared" si="22"/>
        <v>286577.95953245641</v>
      </c>
      <c r="H363" s="4">
        <f t="shared" si="23"/>
        <v>-98790.856654561008</v>
      </c>
    </row>
    <row r="364" spans="2:8" x14ac:dyDescent="0.35">
      <c r="B364" s="5">
        <v>14961.973937192908</v>
      </c>
      <c r="C364" s="6">
        <f t="shared" si="20"/>
        <v>300000</v>
      </c>
      <c r="D364" s="5">
        <f t="shared" si="21"/>
        <v>547338.17560350359</v>
      </c>
      <c r="F364" s="4">
        <v>3761.5894039735099</v>
      </c>
      <c r="G364" s="4">
        <f t="shared" si="22"/>
        <v>188079.4701986755</v>
      </c>
      <c r="H364" s="4">
        <f t="shared" si="23"/>
        <v>-236688.74172185431</v>
      </c>
    </row>
    <row r="365" spans="2:8" x14ac:dyDescent="0.35">
      <c r="B365" s="5">
        <v>14540.055543687246</v>
      </c>
      <c r="C365" s="6">
        <f t="shared" si="20"/>
        <v>300000</v>
      </c>
      <c r="D365" s="5">
        <f t="shared" si="21"/>
        <v>517803.88805810723</v>
      </c>
      <c r="F365" s="4">
        <v>6699.6063112277589</v>
      </c>
      <c r="G365" s="4">
        <f t="shared" si="22"/>
        <v>300000</v>
      </c>
      <c r="H365" s="4">
        <f t="shared" si="23"/>
        <v>-80000</v>
      </c>
    </row>
    <row r="366" spans="2:8" x14ac:dyDescent="0.35">
      <c r="B366" s="5">
        <v>14457.960753196814</v>
      </c>
      <c r="C366" s="6">
        <f t="shared" si="20"/>
        <v>300000</v>
      </c>
      <c r="D366" s="5">
        <f t="shared" si="21"/>
        <v>512057.25272377697</v>
      </c>
      <c r="F366" s="4">
        <v>4387.0662556840725</v>
      </c>
      <c r="G366" s="4">
        <f t="shared" si="22"/>
        <v>219353.31278420362</v>
      </c>
      <c r="H366" s="4">
        <f t="shared" si="23"/>
        <v>-192905.36210211494</v>
      </c>
    </row>
    <row r="367" spans="2:8" x14ac:dyDescent="0.35">
      <c r="B367" s="5">
        <v>12827.204199346903</v>
      </c>
      <c r="C367" s="6">
        <f t="shared" si="20"/>
        <v>300000</v>
      </c>
      <c r="D367" s="5">
        <f t="shared" si="21"/>
        <v>397904.29395428323</v>
      </c>
      <c r="F367" s="4">
        <v>6564.1041291543315</v>
      </c>
      <c r="G367" s="4">
        <f t="shared" si="22"/>
        <v>300000</v>
      </c>
      <c r="H367" s="4">
        <f t="shared" si="23"/>
        <v>-80000</v>
      </c>
    </row>
    <row r="368" spans="2:8" x14ac:dyDescent="0.35">
      <c r="B368" s="5">
        <v>13611.987670522172</v>
      </c>
      <c r="C368" s="6">
        <f t="shared" si="20"/>
        <v>300000</v>
      </c>
      <c r="D368" s="5">
        <f t="shared" si="21"/>
        <v>452839.13693655201</v>
      </c>
      <c r="F368" s="4">
        <v>7584.0327158421587</v>
      </c>
      <c r="G368" s="4">
        <f t="shared" si="22"/>
        <v>300000</v>
      </c>
      <c r="H368" s="4">
        <f t="shared" si="23"/>
        <v>-80000</v>
      </c>
    </row>
    <row r="369" spans="2:8" x14ac:dyDescent="0.35">
      <c r="B369" s="5">
        <v>15295.999023407698</v>
      </c>
      <c r="C369" s="6">
        <f t="shared" si="20"/>
        <v>300000</v>
      </c>
      <c r="D369" s="5">
        <f t="shared" si="21"/>
        <v>550000</v>
      </c>
      <c r="F369" s="4">
        <v>4564.6839808343757</v>
      </c>
      <c r="G369" s="4">
        <f t="shared" si="22"/>
        <v>228234.19904171879</v>
      </c>
      <c r="H369" s="4">
        <f t="shared" si="23"/>
        <v>-180472.12134159368</v>
      </c>
    </row>
    <row r="370" spans="2:8" x14ac:dyDescent="0.35">
      <c r="B370" s="5">
        <v>15480.178228095339</v>
      </c>
      <c r="C370" s="6">
        <f t="shared" si="20"/>
        <v>300000</v>
      </c>
      <c r="D370" s="5">
        <f t="shared" si="21"/>
        <v>550000</v>
      </c>
      <c r="F370" s="4">
        <v>7922.1778008362071</v>
      </c>
      <c r="G370" s="4">
        <f t="shared" si="22"/>
        <v>300000</v>
      </c>
      <c r="H370" s="4">
        <f t="shared" si="23"/>
        <v>-80000</v>
      </c>
    </row>
    <row r="371" spans="2:8" x14ac:dyDescent="0.35">
      <c r="B371" s="5">
        <v>14665.791802728354</v>
      </c>
      <c r="C371" s="6">
        <f t="shared" si="20"/>
        <v>300000</v>
      </c>
      <c r="D371" s="5">
        <f t="shared" si="21"/>
        <v>526605.42619098478</v>
      </c>
      <c r="F371" s="4">
        <v>4187.3226111636704</v>
      </c>
      <c r="G371" s="4">
        <f t="shared" si="22"/>
        <v>209366.13055818353</v>
      </c>
      <c r="H371" s="4">
        <f t="shared" si="23"/>
        <v>-206887.41721854307</v>
      </c>
    </row>
    <row r="372" spans="2:8" x14ac:dyDescent="0.35">
      <c r="B372" s="5">
        <v>14053.89568773461</v>
      </c>
      <c r="C372" s="6">
        <f t="shared" si="20"/>
        <v>300000</v>
      </c>
      <c r="D372" s="5">
        <f t="shared" si="21"/>
        <v>483772.6981414227</v>
      </c>
      <c r="F372" s="4">
        <v>6171.1783196508677</v>
      </c>
      <c r="G372" s="4">
        <f t="shared" si="22"/>
        <v>300000</v>
      </c>
      <c r="H372" s="4">
        <f t="shared" si="23"/>
        <v>-80000</v>
      </c>
    </row>
    <row r="373" spans="2:8" x14ac:dyDescent="0.35">
      <c r="B373" s="5">
        <v>14074.648274178289</v>
      </c>
      <c r="C373" s="6">
        <f t="shared" si="20"/>
        <v>300000</v>
      </c>
      <c r="D373" s="5">
        <f t="shared" si="21"/>
        <v>485225.37919248024</v>
      </c>
      <c r="F373" s="4">
        <v>6004.5472579119232</v>
      </c>
      <c r="G373" s="4">
        <f t="shared" si="22"/>
        <v>300000</v>
      </c>
      <c r="H373" s="4">
        <f t="shared" si="23"/>
        <v>-80000</v>
      </c>
    </row>
    <row r="374" spans="2:8" x14ac:dyDescent="0.35">
      <c r="B374" s="5">
        <v>14894.680623798333</v>
      </c>
      <c r="C374" s="6">
        <f t="shared" si="20"/>
        <v>300000</v>
      </c>
      <c r="D374" s="5">
        <f t="shared" si="21"/>
        <v>542627.64366588334</v>
      </c>
      <c r="F374" s="4">
        <v>7282.6624347666857</v>
      </c>
      <c r="G374" s="4">
        <f t="shared" si="22"/>
        <v>300000</v>
      </c>
      <c r="H374" s="4">
        <f t="shared" si="23"/>
        <v>-80000</v>
      </c>
    </row>
    <row r="375" spans="2:8" x14ac:dyDescent="0.35">
      <c r="B375" s="5">
        <v>15977.324747459334</v>
      </c>
      <c r="C375" s="6">
        <f t="shared" si="20"/>
        <v>300000</v>
      </c>
      <c r="D375" s="5">
        <f t="shared" si="21"/>
        <v>550000</v>
      </c>
      <c r="F375" s="4">
        <v>4216.3151951658683</v>
      </c>
      <c r="G375" s="4">
        <f t="shared" si="22"/>
        <v>210815.75975829342</v>
      </c>
      <c r="H375" s="4">
        <f t="shared" si="23"/>
        <v>-204857.93633838923</v>
      </c>
    </row>
    <row r="376" spans="2:8" x14ac:dyDescent="0.35">
      <c r="B376" s="5">
        <v>16034.699545274209</v>
      </c>
      <c r="C376" s="6">
        <f t="shared" si="20"/>
        <v>300000</v>
      </c>
      <c r="D376" s="5">
        <f t="shared" si="21"/>
        <v>550000</v>
      </c>
      <c r="F376" s="4">
        <v>4301.9196142460405</v>
      </c>
      <c r="G376" s="4">
        <f t="shared" si="22"/>
        <v>215095.98071230203</v>
      </c>
      <c r="H376" s="4">
        <f t="shared" si="23"/>
        <v>-198865.62700277718</v>
      </c>
    </row>
    <row r="377" spans="2:8" x14ac:dyDescent="0.35">
      <c r="B377" s="5">
        <v>16648.274178289132</v>
      </c>
      <c r="C377" s="6">
        <f t="shared" si="20"/>
        <v>300000</v>
      </c>
      <c r="D377" s="5">
        <f t="shared" si="21"/>
        <v>550000</v>
      </c>
      <c r="F377" s="4">
        <v>4311.2277596362192</v>
      </c>
      <c r="G377" s="4">
        <f t="shared" si="22"/>
        <v>215561.38798181096</v>
      </c>
      <c r="H377" s="4">
        <f t="shared" si="23"/>
        <v>-198214.05682546465</v>
      </c>
    </row>
    <row r="378" spans="2:8" x14ac:dyDescent="0.35">
      <c r="B378" s="5">
        <v>12848.414563432721</v>
      </c>
      <c r="C378" s="6">
        <f t="shared" si="20"/>
        <v>300000</v>
      </c>
      <c r="D378" s="5">
        <f t="shared" si="21"/>
        <v>399389.01944029052</v>
      </c>
      <c r="F378" s="4">
        <v>7204.2298654133729</v>
      </c>
      <c r="G378" s="4">
        <f t="shared" si="22"/>
        <v>300000</v>
      </c>
      <c r="H378" s="4">
        <f t="shared" si="23"/>
        <v>-80000</v>
      </c>
    </row>
    <row r="379" spans="2:8" x14ac:dyDescent="0.35">
      <c r="B379" s="5">
        <v>16430.677205725275</v>
      </c>
      <c r="C379" s="6">
        <f t="shared" si="20"/>
        <v>300000</v>
      </c>
      <c r="D379" s="5">
        <f t="shared" si="21"/>
        <v>550000</v>
      </c>
      <c r="F379" s="4">
        <v>6108.1575975829346</v>
      </c>
      <c r="G379" s="4">
        <f t="shared" si="22"/>
        <v>300000</v>
      </c>
      <c r="H379" s="4">
        <f t="shared" si="23"/>
        <v>-80000</v>
      </c>
    </row>
    <row r="380" spans="2:8" x14ac:dyDescent="0.35">
      <c r="B380" s="5">
        <v>12716.422009949034</v>
      </c>
      <c r="C380" s="6">
        <f t="shared" si="20"/>
        <v>300000</v>
      </c>
      <c r="D380" s="5">
        <f t="shared" si="21"/>
        <v>390149.54069643235</v>
      </c>
      <c r="F380" s="4">
        <v>5112.338633381145</v>
      </c>
      <c r="G380" s="4">
        <f t="shared" si="22"/>
        <v>255616.93166905726</v>
      </c>
      <c r="H380" s="4">
        <f t="shared" si="23"/>
        <v>-142136.29566331988</v>
      </c>
    </row>
    <row r="381" spans="2:8" x14ac:dyDescent="0.35">
      <c r="B381" s="5">
        <v>14517.624439222389</v>
      </c>
      <c r="C381" s="6">
        <f t="shared" si="20"/>
        <v>300000</v>
      </c>
      <c r="D381" s="5">
        <f t="shared" si="21"/>
        <v>516233.71074556722</v>
      </c>
      <c r="F381" s="4">
        <v>3058.1377605517746</v>
      </c>
      <c r="G381" s="4">
        <f t="shared" si="22"/>
        <v>152906.88802758872</v>
      </c>
      <c r="H381" s="4">
        <f t="shared" si="23"/>
        <v>-285930.35676137579</v>
      </c>
    </row>
    <row r="382" spans="2:8" x14ac:dyDescent="0.35">
      <c r="B382" s="5">
        <v>14371.745963927122</v>
      </c>
      <c r="C382" s="6">
        <f t="shared" si="20"/>
        <v>300000</v>
      </c>
      <c r="D382" s="5">
        <f t="shared" si="21"/>
        <v>506022.21747489856</v>
      </c>
      <c r="F382" s="4">
        <v>5523.5755485702075</v>
      </c>
      <c r="G382" s="4">
        <f t="shared" si="22"/>
        <v>276178.77742851037</v>
      </c>
      <c r="H382" s="4">
        <f t="shared" si="23"/>
        <v>-113349.71160008549</v>
      </c>
    </row>
    <row r="383" spans="2:8" x14ac:dyDescent="0.35">
      <c r="B383" s="5">
        <v>14833.9487899411</v>
      </c>
      <c r="C383" s="6">
        <f t="shared" si="20"/>
        <v>300000</v>
      </c>
      <c r="D383" s="5">
        <f t="shared" si="21"/>
        <v>538376.41529587703</v>
      </c>
      <c r="F383" s="4">
        <v>3181.2799462874232</v>
      </c>
      <c r="G383" s="4">
        <f t="shared" si="22"/>
        <v>159063.99731437117</v>
      </c>
      <c r="H383" s="4">
        <f t="shared" si="23"/>
        <v>-277310.40375988034</v>
      </c>
    </row>
    <row r="384" spans="2:8" x14ac:dyDescent="0.35">
      <c r="B384" s="5">
        <v>13478.774376659443</v>
      </c>
      <c r="C384" s="6">
        <f t="shared" si="20"/>
        <v>300000</v>
      </c>
      <c r="D384" s="5">
        <f t="shared" si="21"/>
        <v>443514.206366161</v>
      </c>
      <c r="F384" s="4">
        <v>5659.535508285775</v>
      </c>
      <c r="G384" s="4">
        <f t="shared" si="22"/>
        <v>282976.77541428874</v>
      </c>
      <c r="H384" s="4">
        <f t="shared" si="23"/>
        <v>-103832.51441999577</v>
      </c>
    </row>
    <row r="385" spans="2:8" x14ac:dyDescent="0.35">
      <c r="B385" s="5">
        <v>14635.578478347117</v>
      </c>
      <c r="C385" s="6">
        <f t="shared" si="20"/>
        <v>300000</v>
      </c>
      <c r="D385" s="5">
        <f t="shared" si="21"/>
        <v>524490.49348429823</v>
      </c>
      <c r="F385" s="4">
        <v>7531.9986571855834</v>
      </c>
      <c r="G385" s="4">
        <f t="shared" si="22"/>
        <v>300000</v>
      </c>
      <c r="H385" s="4">
        <f t="shared" si="23"/>
        <v>-80000</v>
      </c>
    </row>
    <row r="386" spans="2:8" x14ac:dyDescent="0.35">
      <c r="B386" s="5">
        <v>15836.634418774987</v>
      </c>
      <c r="C386" s="6">
        <f t="shared" si="20"/>
        <v>300000</v>
      </c>
      <c r="D386" s="5">
        <f t="shared" si="21"/>
        <v>550000</v>
      </c>
      <c r="F386" s="4">
        <v>4508.9877010406817</v>
      </c>
      <c r="G386" s="4">
        <f t="shared" si="22"/>
        <v>225449.38505203408</v>
      </c>
      <c r="H386" s="4">
        <f t="shared" si="23"/>
        <v>-184370.86092715227</v>
      </c>
    </row>
    <row r="387" spans="2:8" x14ac:dyDescent="0.35">
      <c r="B387" s="5">
        <v>12884.578997161778</v>
      </c>
      <c r="C387" s="6">
        <f t="shared" si="20"/>
        <v>300000</v>
      </c>
      <c r="D387" s="5">
        <f t="shared" si="21"/>
        <v>401920.52980132448</v>
      </c>
      <c r="F387" s="4">
        <v>6749.0462965788756</v>
      </c>
      <c r="G387" s="4">
        <f t="shared" si="22"/>
        <v>300000</v>
      </c>
      <c r="H387" s="4">
        <f t="shared" si="23"/>
        <v>-80000</v>
      </c>
    </row>
    <row r="388" spans="2:8" x14ac:dyDescent="0.35">
      <c r="B388" s="5">
        <v>13290.780358287302</v>
      </c>
      <c r="C388" s="6">
        <f t="shared" si="20"/>
        <v>300000</v>
      </c>
      <c r="D388" s="5">
        <f t="shared" si="21"/>
        <v>430354.6250801112</v>
      </c>
      <c r="F388" s="4">
        <v>5152.1652882473218</v>
      </c>
      <c r="G388" s="4">
        <f t="shared" si="22"/>
        <v>257608.26441236609</v>
      </c>
      <c r="H388" s="4">
        <f t="shared" si="23"/>
        <v>-139348.42982268747</v>
      </c>
    </row>
    <row r="389" spans="2:8" x14ac:dyDescent="0.35">
      <c r="B389" s="5">
        <v>14410.962248603779</v>
      </c>
      <c r="C389" s="6">
        <f t="shared" si="20"/>
        <v>300000</v>
      </c>
      <c r="D389" s="5">
        <f t="shared" si="21"/>
        <v>508767.35740226449</v>
      </c>
      <c r="F389" s="4">
        <v>3164.7999511703847</v>
      </c>
      <c r="G389" s="4">
        <f t="shared" si="22"/>
        <v>158239.99755851924</v>
      </c>
      <c r="H389" s="4">
        <f t="shared" si="23"/>
        <v>-278464.00341807306</v>
      </c>
    </row>
    <row r="390" spans="2:8" x14ac:dyDescent="0.35">
      <c r="B390" s="5">
        <v>15564.867091891232</v>
      </c>
      <c r="C390" s="6">
        <f t="shared" si="20"/>
        <v>300000</v>
      </c>
      <c r="D390" s="5">
        <f t="shared" si="21"/>
        <v>550000</v>
      </c>
      <c r="F390" s="4">
        <v>6186.1323892941073</v>
      </c>
      <c r="G390" s="4">
        <f t="shared" si="22"/>
        <v>300000</v>
      </c>
      <c r="H390" s="4">
        <f t="shared" si="23"/>
        <v>-80000</v>
      </c>
    </row>
    <row r="391" spans="2:8" x14ac:dyDescent="0.35">
      <c r="B391" s="5">
        <v>16468.520157475508</v>
      </c>
      <c r="C391" s="6">
        <f t="shared" si="20"/>
        <v>300000</v>
      </c>
      <c r="D391" s="5">
        <f t="shared" si="21"/>
        <v>550000</v>
      </c>
      <c r="F391" s="4">
        <v>3266.2739951780754</v>
      </c>
      <c r="G391" s="4">
        <f t="shared" si="22"/>
        <v>163313.69975890376</v>
      </c>
      <c r="H391" s="4">
        <f t="shared" si="23"/>
        <v>-271360.82033753471</v>
      </c>
    </row>
    <row r="392" spans="2:8" x14ac:dyDescent="0.35">
      <c r="B392" s="5">
        <v>14438.581499679556</v>
      </c>
      <c r="C392" s="6">
        <f t="shared" si="20"/>
        <v>300000</v>
      </c>
      <c r="D392" s="5">
        <f t="shared" si="21"/>
        <v>510700.70497756894</v>
      </c>
      <c r="F392" s="4">
        <v>4128.8796655171363</v>
      </c>
      <c r="G392" s="4">
        <f t="shared" si="22"/>
        <v>206443.98327585682</v>
      </c>
      <c r="H392" s="4">
        <f t="shared" si="23"/>
        <v>-210978.42341380048</v>
      </c>
    </row>
    <row r="393" spans="2:8" x14ac:dyDescent="0.35">
      <c r="B393" s="5">
        <v>14654.499954222236</v>
      </c>
      <c r="C393" s="6">
        <f t="shared" si="20"/>
        <v>300000</v>
      </c>
      <c r="D393" s="5">
        <f t="shared" si="21"/>
        <v>525814.99679555651</v>
      </c>
      <c r="F393" s="4">
        <v>6126.9264809106717</v>
      </c>
      <c r="G393" s="4">
        <f t="shared" si="22"/>
        <v>300000</v>
      </c>
      <c r="H393" s="4">
        <f t="shared" si="23"/>
        <v>-80000</v>
      </c>
    </row>
    <row r="394" spans="2:8" x14ac:dyDescent="0.35">
      <c r="B394" s="5">
        <v>15618.884853663747</v>
      </c>
      <c r="C394" s="6">
        <f t="shared" si="20"/>
        <v>300000</v>
      </c>
      <c r="D394" s="5">
        <f t="shared" si="21"/>
        <v>550000</v>
      </c>
      <c r="F394" s="4">
        <v>6187.8109073152864</v>
      </c>
      <c r="G394" s="4">
        <f t="shared" si="22"/>
        <v>300000</v>
      </c>
      <c r="H394" s="4">
        <f t="shared" si="23"/>
        <v>-80000</v>
      </c>
    </row>
    <row r="395" spans="2:8" x14ac:dyDescent="0.35">
      <c r="B395" s="5">
        <v>13414.68550675985</v>
      </c>
      <c r="C395" s="6">
        <f t="shared" si="20"/>
        <v>300000</v>
      </c>
      <c r="D395" s="5">
        <f t="shared" si="21"/>
        <v>439027.9854731895</v>
      </c>
      <c r="F395" s="4">
        <v>5904.4465468306535</v>
      </c>
      <c r="G395" s="4">
        <f t="shared" si="22"/>
        <v>295222.32734153268</v>
      </c>
      <c r="H395" s="4">
        <f t="shared" si="23"/>
        <v>-86688.741721854254</v>
      </c>
    </row>
    <row r="396" spans="2:8" x14ac:dyDescent="0.35">
      <c r="B396" s="5">
        <v>13886.043885616626</v>
      </c>
      <c r="C396" s="6">
        <f t="shared" ref="C396:C459" si="24">50*MIN(B396,6000)</f>
        <v>300000</v>
      </c>
      <c r="D396" s="5">
        <f t="shared" ref="D396:D459" si="25">70*MIN(B396,15000)-500000</f>
        <v>472023.07199316379</v>
      </c>
      <c r="F396" s="4">
        <v>5364.4215216528828</v>
      </c>
      <c r="G396" s="4">
        <f t="shared" ref="G396:G459" si="26">50*MIN(F396,6000)</f>
        <v>268221.07608264417</v>
      </c>
      <c r="H396" s="4">
        <f t="shared" ref="H396:H459" si="27">70*MIN(F396,6000)-500000</f>
        <v>-124490.49348429823</v>
      </c>
    </row>
    <row r="397" spans="2:8" x14ac:dyDescent="0.35">
      <c r="B397" s="5">
        <v>15619.495223853268</v>
      </c>
      <c r="C397" s="6">
        <f t="shared" si="24"/>
        <v>300000</v>
      </c>
      <c r="D397" s="5">
        <f t="shared" si="25"/>
        <v>550000</v>
      </c>
      <c r="F397" s="4">
        <v>3731.2234870448929</v>
      </c>
      <c r="G397" s="4">
        <f t="shared" si="26"/>
        <v>186561.17435224465</v>
      </c>
      <c r="H397" s="4">
        <f t="shared" si="27"/>
        <v>-238814.3559068575</v>
      </c>
    </row>
    <row r="398" spans="2:8" x14ac:dyDescent="0.35">
      <c r="B398" s="5">
        <v>14304.300057985169</v>
      </c>
      <c r="C398" s="6">
        <f t="shared" si="24"/>
        <v>300000</v>
      </c>
      <c r="D398" s="5">
        <f t="shared" si="25"/>
        <v>501301.00405896176</v>
      </c>
      <c r="F398" s="4">
        <v>3162.8162480544452</v>
      </c>
      <c r="G398" s="4">
        <f t="shared" si="26"/>
        <v>158140.81240272225</v>
      </c>
      <c r="H398" s="4">
        <f t="shared" si="27"/>
        <v>-278602.86263618886</v>
      </c>
    </row>
    <row r="399" spans="2:8" x14ac:dyDescent="0.35">
      <c r="B399" s="5">
        <v>14111.728263191626</v>
      </c>
      <c r="C399" s="6">
        <f t="shared" si="24"/>
        <v>300000</v>
      </c>
      <c r="D399" s="5">
        <f t="shared" si="25"/>
        <v>487820.97842341382</v>
      </c>
      <c r="F399" s="4">
        <v>4452.6810510574669</v>
      </c>
      <c r="G399" s="4">
        <f t="shared" si="26"/>
        <v>222634.05255287336</v>
      </c>
      <c r="H399" s="4">
        <f t="shared" si="27"/>
        <v>-188312.32642597734</v>
      </c>
    </row>
    <row r="400" spans="2:8" x14ac:dyDescent="0.35">
      <c r="B400" s="5">
        <v>12052.644428846095</v>
      </c>
      <c r="C400" s="6">
        <f t="shared" si="24"/>
        <v>300000</v>
      </c>
      <c r="D400" s="5">
        <f t="shared" si="25"/>
        <v>343685.11001922667</v>
      </c>
      <c r="F400" s="4">
        <v>4785.4853968932157</v>
      </c>
      <c r="G400" s="4">
        <f t="shared" si="26"/>
        <v>239274.2698446608</v>
      </c>
      <c r="H400" s="4">
        <f t="shared" si="27"/>
        <v>-165016.02221747488</v>
      </c>
    </row>
    <row r="401" spans="2:8" x14ac:dyDescent="0.35">
      <c r="B401" s="5">
        <v>13793.877986999116</v>
      </c>
      <c r="C401" s="6">
        <f t="shared" si="24"/>
        <v>300000</v>
      </c>
      <c r="D401" s="5">
        <f t="shared" si="25"/>
        <v>465571.45908993809</v>
      </c>
      <c r="F401" s="4">
        <v>4811.2735374004333</v>
      </c>
      <c r="G401" s="4">
        <f t="shared" si="26"/>
        <v>240563.67687002168</v>
      </c>
      <c r="H401" s="4">
        <f t="shared" si="27"/>
        <v>-163210.85238196969</v>
      </c>
    </row>
    <row r="402" spans="2:8" x14ac:dyDescent="0.35">
      <c r="B402" s="5">
        <v>16417.249061555834</v>
      </c>
      <c r="C402" s="6">
        <f t="shared" si="24"/>
        <v>300000</v>
      </c>
      <c r="D402" s="5">
        <f t="shared" si="25"/>
        <v>550000</v>
      </c>
      <c r="F402" s="4">
        <v>3270.0888088625752</v>
      </c>
      <c r="G402" s="4">
        <f t="shared" si="26"/>
        <v>163504.44044312875</v>
      </c>
      <c r="H402" s="4">
        <f t="shared" si="27"/>
        <v>-271093.78337961971</v>
      </c>
    </row>
    <row r="403" spans="2:8" x14ac:dyDescent="0.35">
      <c r="B403" s="5">
        <v>13890.469069490646</v>
      </c>
      <c r="C403" s="6">
        <f t="shared" si="24"/>
        <v>300000</v>
      </c>
      <c r="D403" s="5">
        <f t="shared" si="25"/>
        <v>472332.83486434515</v>
      </c>
      <c r="F403" s="4">
        <v>4958.5253456221199</v>
      </c>
      <c r="G403" s="4">
        <f t="shared" si="26"/>
        <v>247926.267281106</v>
      </c>
      <c r="H403" s="4">
        <f t="shared" si="27"/>
        <v>-152903.22580645164</v>
      </c>
    </row>
    <row r="404" spans="2:8" x14ac:dyDescent="0.35">
      <c r="B404" s="5">
        <v>16288.155766472366</v>
      </c>
      <c r="C404" s="6">
        <f t="shared" si="24"/>
        <v>300000</v>
      </c>
      <c r="D404" s="5">
        <f t="shared" si="25"/>
        <v>550000</v>
      </c>
      <c r="F404" s="4">
        <v>3178.2280953398235</v>
      </c>
      <c r="G404" s="4">
        <f t="shared" si="26"/>
        <v>158911.40476699118</v>
      </c>
      <c r="H404" s="4">
        <f t="shared" si="27"/>
        <v>-277524.03332621232</v>
      </c>
    </row>
    <row r="405" spans="2:8" x14ac:dyDescent="0.35">
      <c r="B405" s="5">
        <v>14601.397747734001</v>
      </c>
      <c r="C405" s="6">
        <f t="shared" si="24"/>
        <v>300000</v>
      </c>
      <c r="D405" s="5">
        <f t="shared" si="25"/>
        <v>522097.84234138008</v>
      </c>
      <c r="F405" s="4">
        <v>7723.8074892422255</v>
      </c>
      <c r="G405" s="4">
        <f t="shared" si="26"/>
        <v>300000</v>
      </c>
      <c r="H405" s="4">
        <f t="shared" si="27"/>
        <v>-80000</v>
      </c>
    </row>
    <row r="406" spans="2:8" x14ac:dyDescent="0.35">
      <c r="B406" s="5">
        <v>15766.899624622334</v>
      </c>
      <c r="C406" s="6">
        <f t="shared" si="24"/>
        <v>300000</v>
      </c>
      <c r="D406" s="5">
        <f t="shared" si="25"/>
        <v>550000</v>
      </c>
      <c r="F406" s="4">
        <v>6792.9929502243103</v>
      </c>
      <c r="G406" s="4">
        <f t="shared" si="26"/>
        <v>300000</v>
      </c>
      <c r="H406" s="4">
        <f t="shared" si="27"/>
        <v>-80000</v>
      </c>
    </row>
    <row r="407" spans="2:8" x14ac:dyDescent="0.35">
      <c r="B407" s="5">
        <v>13581.316568498794</v>
      </c>
      <c r="C407" s="6">
        <f t="shared" si="24"/>
        <v>300000</v>
      </c>
      <c r="D407" s="5">
        <f t="shared" si="25"/>
        <v>450692.15979491558</v>
      </c>
      <c r="F407" s="4">
        <v>3009.0029602954191</v>
      </c>
      <c r="G407" s="4">
        <f t="shared" si="26"/>
        <v>150450.14801477097</v>
      </c>
      <c r="H407" s="4">
        <f t="shared" si="27"/>
        <v>-289369.79277932062</v>
      </c>
    </row>
    <row r="408" spans="2:8" x14ac:dyDescent="0.35">
      <c r="B408" s="5">
        <v>14826.01397747734</v>
      </c>
      <c r="C408" s="6">
        <f t="shared" si="24"/>
        <v>300000</v>
      </c>
      <c r="D408" s="5">
        <f t="shared" si="25"/>
        <v>537820.97842341382</v>
      </c>
      <c r="F408" s="4">
        <v>6967.8640095217743</v>
      </c>
      <c r="G408" s="4">
        <f t="shared" si="26"/>
        <v>300000</v>
      </c>
      <c r="H408" s="4">
        <f t="shared" si="27"/>
        <v>-80000</v>
      </c>
    </row>
    <row r="409" spans="2:8" x14ac:dyDescent="0.35">
      <c r="B409" s="5">
        <v>13666.768395031588</v>
      </c>
      <c r="C409" s="6">
        <f t="shared" si="24"/>
        <v>300000</v>
      </c>
      <c r="D409" s="5">
        <f t="shared" si="25"/>
        <v>456673.78765221115</v>
      </c>
      <c r="F409" s="4">
        <v>6135.776848658712</v>
      </c>
      <c r="G409" s="4">
        <f t="shared" si="26"/>
        <v>300000</v>
      </c>
      <c r="H409" s="4">
        <f t="shared" si="27"/>
        <v>-80000</v>
      </c>
    </row>
    <row r="410" spans="2:8" x14ac:dyDescent="0.35">
      <c r="B410" s="5">
        <v>12004.882961516159</v>
      </c>
      <c r="C410" s="6">
        <f t="shared" si="24"/>
        <v>300000</v>
      </c>
      <c r="D410" s="5">
        <f t="shared" si="25"/>
        <v>340341.80730613112</v>
      </c>
      <c r="F410" s="4">
        <v>6404.9501022370059</v>
      </c>
      <c r="G410" s="4">
        <f t="shared" si="26"/>
        <v>300000</v>
      </c>
      <c r="H410" s="4">
        <f t="shared" si="27"/>
        <v>-80000</v>
      </c>
    </row>
    <row r="411" spans="2:8" x14ac:dyDescent="0.35">
      <c r="B411" s="5">
        <v>12151.982177190466</v>
      </c>
      <c r="C411" s="6">
        <f t="shared" si="24"/>
        <v>300000</v>
      </c>
      <c r="D411" s="5">
        <f t="shared" si="25"/>
        <v>350638.75240333262</v>
      </c>
      <c r="F411" s="4">
        <v>7061.5558336130862</v>
      </c>
      <c r="G411" s="4">
        <f t="shared" si="26"/>
        <v>300000</v>
      </c>
      <c r="H411" s="4">
        <f t="shared" si="27"/>
        <v>-80000</v>
      </c>
    </row>
    <row r="412" spans="2:8" x14ac:dyDescent="0.35">
      <c r="B412" s="5">
        <v>14495.803704947051</v>
      </c>
      <c r="C412" s="6">
        <f t="shared" si="24"/>
        <v>300000</v>
      </c>
      <c r="D412" s="5">
        <f t="shared" si="25"/>
        <v>514706.25934629363</v>
      </c>
      <c r="F412" s="4">
        <v>3850.7034516434214</v>
      </c>
      <c r="G412" s="4">
        <f t="shared" si="26"/>
        <v>192535.17258217107</v>
      </c>
      <c r="H412" s="4">
        <f t="shared" si="27"/>
        <v>-230450.75838496047</v>
      </c>
    </row>
    <row r="413" spans="2:8" x14ac:dyDescent="0.35">
      <c r="B413" s="5">
        <v>16802.087466048157</v>
      </c>
      <c r="C413" s="6">
        <f t="shared" si="24"/>
        <v>300000</v>
      </c>
      <c r="D413" s="5">
        <f t="shared" si="25"/>
        <v>550000</v>
      </c>
      <c r="F413" s="4">
        <v>5250.5874813074133</v>
      </c>
      <c r="G413" s="4">
        <f t="shared" si="26"/>
        <v>262529.37406537065</v>
      </c>
      <c r="H413" s="4">
        <f t="shared" si="27"/>
        <v>-132458.87630848109</v>
      </c>
    </row>
    <row r="414" spans="2:8" x14ac:dyDescent="0.35">
      <c r="B414" s="5">
        <v>16292.275765251627</v>
      </c>
      <c r="C414" s="6">
        <f t="shared" si="24"/>
        <v>300000</v>
      </c>
      <c r="D414" s="5">
        <f t="shared" si="25"/>
        <v>550000</v>
      </c>
      <c r="F414" s="4">
        <v>4114.9937437055578</v>
      </c>
      <c r="G414" s="4">
        <f t="shared" si="26"/>
        <v>205749.6871852779</v>
      </c>
      <c r="H414" s="4">
        <f t="shared" si="27"/>
        <v>-211950.43794061098</v>
      </c>
    </row>
    <row r="415" spans="2:8" x14ac:dyDescent="0.35">
      <c r="B415" s="5">
        <v>12831.019013031404</v>
      </c>
      <c r="C415" s="6">
        <f t="shared" si="24"/>
        <v>300000</v>
      </c>
      <c r="D415" s="5">
        <f t="shared" si="25"/>
        <v>398171.33091219829</v>
      </c>
      <c r="F415" s="4">
        <v>5729.5754875331895</v>
      </c>
      <c r="G415" s="4">
        <f t="shared" si="26"/>
        <v>286478.77437665948</v>
      </c>
      <c r="H415" s="4">
        <f t="shared" si="27"/>
        <v>-98929.715872676752</v>
      </c>
    </row>
    <row r="416" spans="2:8" x14ac:dyDescent="0.35">
      <c r="B416" s="5">
        <v>12978.118228705709</v>
      </c>
      <c r="C416" s="6">
        <f t="shared" si="24"/>
        <v>300000</v>
      </c>
      <c r="D416" s="5">
        <f t="shared" si="25"/>
        <v>408468.27600939968</v>
      </c>
      <c r="F416" s="4">
        <v>6563.0359813226714</v>
      </c>
      <c r="G416" s="4">
        <f t="shared" si="26"/>
        <v>300000</v>
      </c>
      <c r="H416" s="4">
        <f t="shared" si="27"/>
        <v>-80000</v>
      </c>
    </row>
    <row r="417" spans="2:8" x14ac:dyDescent="0.35">
      <c r="B417" s="5">
        <v>16368.419446394239</v>
      </c>
      <c r="C417" s="6">
        <f t="shared" si="24"/>
        <v>300000</v>
      </c>
      <c r="D417" s="5">
        <f t="shared" si="25"/>
        <v>550000</v>
      </c>
      <c r="F417" s="4">
        <v>3630.2072206793418</v>
      </c>
      <c r="G417" s="4">
        <f t="shared" si="26"/>
        <v>181510.36103396708</v>
      </c>
      <c r="H417" s="4">
        <f t="shared" si="27"/>
        <v>-245885.49455244606</v>
      </c>
    </row>
    <row r="418" spans="2:8" x14ac:dyDescent="0.35">
      <c r="B418" s="5">
        <v>12835.444196905422</v>
      </c>
      <c r="C418" s="6">
        <f t="shared" si="24"/>
        <v>300000</v>
      </c>
      <c r="D418" s="5">
        <f t="shared" si="25"/>
        <v>398481.09378337953</v>
      </c>
      <c r="F418" s="4">
        <v>6427.8389843440054</v>
      </c>
      <c r="G418" s="4">
        <f t="shared" si="26"/>
        <v>300000</v>
      </c>
      <c r="H418" s="4">
        <f t="shared" si="27"/>
        <v>-80000</v>
      </c>
    </row>
    <row r="419" spans="2:8" x14ac:dyDescent="0.35">
      <c r="B419" s="5">
        <v>16624.011963255714</v>
      </c>
      <c r="C419" s="6">
        <f t="shared" si="24"/>
        <v>300000</v>
      </c>
      <c r="D419" s="5">
        <f t="shared" si="25"/>
        <v>550000</v>
      </c>
      <c r="F419" s="4">
        <v>5429.8837244788965</v>
      </c>
      <c r="G419" s="4">
        <f t="shared" si="26"/>
        <v>271494.18622394482</v>
      </c>
      <c r="H419" s="4">
        <f t="shared" si="27"/>
        <v>-119908.13928647724</v>
      </c>
    </row>
    <row r="420" spans="2:8" x14ac:dyDescent="0.35">
      <c r="B420" s="5">
        <v>13880.245368816188</v>
      </c>
      <c r="C420" s="6">
        <f t="shared" si="24"/>
        <v>300000</v>
      </c>
      <c r="D420" s="5">
        <f t="shared" si="25"/>
        <v>471617.17581713316</v>
      </c>
      <c r="F420" s="4">
        <v>5564.0125736259033</v>
      </c>
      <c r="G420" s="4">
        <f t="shared" si="26"/>
        <v>278200.62868129514</v>
      </c>
      <c r="H420" s="4">
        <f t="shared" si="27"/>
        <v>-110519.11984618678</v>
      </c>
    </row>
    <row r="421" spans="2:8" x14ac:dyDescent="0.35">
      <c r="B421" s="5">
        <v>14173.680837427901</v>
      </c>
      <c r="C421" s="6">
        <f t="shared" si="24"/>
        <v>300000</v>
      </c>
      <c r="D421" s="5">
        <f t="shared" si="25"/>
        <v>492157.65861995309</v>
      </c>
      <c r="F421" s="4">
        <v>3268.7154759361551</v>
      </c>
      <c r="G421" s="4">
        <f t="shared" si="26"/>
        <v>163435.77379680777</v>
      </c>
      <c r="H421" s="4">
        <f t="shared" si="27"/>
        <v>-271189.91668446915</v>
      </c>
    </row>
    <row r="422" spans="2:8" x14ac:dyDescent="0.35">
      <c r="B422" s="5">
        <v>15823.969237342448</v>
      </c>
      <c r="C422" s="6">
        <f t="shared" si="24"/>
        <v>300000</v>
      </c>
      <c r="D422" s="5">
        <f t="shared" si="25"/>
        <v>550000</v>
      </c>
      <c r="F422" s="4">
        <v>4746.2691122165597</v>
      </c>
      <c r="G422" s="4">
        <f t="shared" si="26"/>
        <v>237313.45561082798</v>
      </c>
      <c r="H422" s="4">
        <f t="shared" si="27"/>
        <v>-167761.16214484081</v>
      </c>
    </row>
    <row r="423" spans="2:8" x14ac:dyDescent="0.35">
      <c r="B423" s="5">
        <v>14627.948850978119</v>
      </c>
      <c r="C423" s="6">
        <f t="shared" si="24"/>
        <v>300000</v>
      </c>
      <c r="D423" s="5">
        <f t="shared" si="25"/>
        <v>523956.41956846835</v>
      </c>
      <c r="F423" s="4">
        <v>7297.3113193151648</v>
      </c>
      <c r="G423" s="4">
        <f t="shared" si="26"/>
        <v>300000</v>
      </c>
      <c r="H423" s="4">
        <f t="shared" si="27"/>
        <v>-80000</v>
      </c>
    </row>
    <row r="424" spans="2:8" x14ac:dyDescent="0.35">
      <c r="B424" s="5">
        <v>15416.241950743126</v>
      </c>
      <c r="C424" s="6">
        <f t="shared" si="24"/>
        <v>300000</v>
      </c>
      <c r="D424" s="5">
        <f t="shared" si="25"/>
        <v>550000</v>
      </c>
      <c r="F424" s="4">
        <v>3916.7760246589555</v>
      </c>
      <c r="G424" s="4">
        <f t="shared" si="26"/>
        <v>195838.80123294776</v>
      </c>
      <c r="H424" s="4">
        <f t="shared" si="27"/>
        <v>-225825.67827387311</v>
      </c>
    </row>
    <row r="425" spans="2:8" x14ac:dyDescent="0.35">
      <c r="B425" s="5">
        <v>13556.901760917997</v>
      </c>
      <c r="C425" s="6">
        <f t="shared" si="24"/>
        <v>300000</v>
      </c>
      <c r="D425" s="5">
        <f t="shared" si="25"/>
        <v>448983.12326425978</v>
      </c>
      <c r="F425" s="4">
        <v>3074.3125705740531</v>
      </c>
      <c r="G425" s="4">
        <f t="shared" si="26"/>
        <v>153715.62852870265</v>
      </c>
      <c r="H425" s="4">
        <f t="shared" si="27"/>
        <v>-284798.12005981628</v>
      </c>
    </row>
    <row r="426" spans="2:8" x14ac:dyDescent="0.35">
      <c r="B426" s="5">
        <v>13796.929837946715</v>
      </c>
      <c r="C426" s="6">
        <f t="shared" si="24"/>
        <v>300000</v>
      </c>
      <c r="D426" s="5">
        <f t="shared" si="25"/>
        <v>465785.08865627006</v>
      </c>
      <c r="F426" s="4">
        <v>5551.4999847407453</v>
      </c>
      <c r="G426" s="4">
        <f t="shared" si="26"/>
        <v>277574.99923703726</v>
      </c>
      <c r="H426" s="4">
        <f t="shared" si="27"/>
        <v>-111395.00106814783</v>
      </c>
    </row>
    <row r="427" spans="2:8" x14ac:dyDescent="0.35">
      <c r="B427" s="5">
        <v>13052.735984374523</v>
      </c>
      <c r="C427" s="6">
        <f t="shared" si="24"/>
        <v>300000</v>
      </c>
      <c r="D427" s="5">
        <f t="shared" si="25"/>
        <v>413691.5189062166</v>
      </c>
      <c r="F427" s="4">
        <v>4772.5150303659175</v>
      </c>
      <c r="G427" s="4">
        <f t="shared" si="26"/>
        <v>238625.75151829587</v>
      </c>
      <c r="H427" s="4">
        <f t="shared" si="27"/>
        <v>-165923.94787438575</v>
      </c>
    </row>
    <row r="428" spans="2:8" x14ac:dyDescent="0.35">
      <c r="B428" s="5">
        <v>15970.915860469375</v>
      </c>
      <c r="C428" s="6">
        <f t="shared" si="24"/>
        <v>300000</v>
      </c>
      <c r="D428" s="5">
        <f t="shared" si="25"/>
        <v>550000</v>
      </c>
      <c r="F428" s="4">
        <v>5148.5030671102022</v>
      </c>
      <c r="G428" s="4">
        <f t="shared" si="26"/>
        <v>257425.15335551012</v>
      </c>
      <c r="H428" s="4">
        <f t="shared" si="27"/>
        <v>-139604.78530228586</v>
      </c>
    </row>
    <row r="429" spans="2:8" x14ac:dyDescent="0.35">
      <c r="B429" s="5">
        <v>15820.45960875271</v>
      </c>
      <c r="C429" s="6">
        <f t="shared" si="24"/>
        <v>300000</v>
      </c>
      <c r="D429" s="5">
        <f t="shared" si="25"/>
        <v>550000</v>
      </c>
      <c r="F429" s="4">
        <v>3416.1198767052219</v>
      </c>
      <c r="G429" s="4">
        <f t="shared" si="26"/>
        <v>170805.99383526109</v>
      </c>
      <c r="H429" s="4">
        <f t="shared" si="27"/>
        <v>-260871.60863063447</v>
      </c>
    </row>
    <row r="430" spans="2:8" x14ac:dyDescent="0.35">
      <c r="B430" s="5">
        <v>15976.104007080296</v>
      </c>
      <c r="C430" s="6">
        <f t="shared" si="24"/>
        <v>300000</v>
      </c>
      <c r="D430" s="5">
        <f t="shared" si="25"/>
        <v>550000</v>
      </c>
      <c r="F430" s="4">
        <v>7387.0357371745968</v>
      </c>
      <c r="G430" s="4">
        <f t="shared" si="26"/>
        <v>300000</v>
      </c>
      <c r="H430" s="4">
        <f t="shared" si="27"/>
        <v>-80000</v>
      </c>
    </row>
    <row r="431" spans="2:8" x14ac:dyDescent="0.35">
      <c r="B431" s="5">
        <v>12351.878414258248</v>
      </c>
      <c r="C431" s="6">
        <f t="shared" si="24"/>
        <v>300000</v>
      </c>
      <c r="D431" s="5">
        <f t="shared" si="25"/>
        <v>364631.48899807734</v>
      </c>
      <c r="F431" s="4">
        <v>5771.9962157048249</v>
      </c>
      <c r="G431" s="4">
        <f t="shared" si="26"/>
        <v>288599.81078524125</v>
      </c>
      <c r="H431" s="4">
        <f t="shared" si="27"/>
        <v>-95960.264900662238</v>
      </c>
    </row>
    <row r="432" spans="2:8" x14ac:dyDescent="0.35">
      <c r="B432" s="5">
        <v>12331.58360545671</v>
      </c>
      <c r="C432" s="6">
        <f t="shared" si="24"/>
        <v>300000</v>
      </c>
      <c r="D432" s="5">
        <f t="shared" si="25"/>
        <v>363210.85238196969</v>
      </c>
      <c r="F432" s="4">
        <v>7368.7246314889981</v>
      </c>
      <c r="G432" s="4">
        <f t="shared" si="26"/>
        <v>300000</v>
      </c>
      <c r="H432" s="4">
        <f t="shared" si="27"/>
        <v>-80000</v>
      </c>
    </row>
    <row r="433" spans="2:8" x14ac:dyDescent="0.35">
      <c r="B433" s="5">
        <v>13661.732840968047</v>
      </c>
      <c r="C433" s="6">
        <f t="shared" si="24"/>
        <v>300000</v>
      </c>
      <c r="D433" s="5">
        <f t="shared" si="25"/>
        <v>456321.29886776325</v>
      </c>
      <c r="F433" s="4">
        <v>6891.1099581896415</v>
      </c>
      <c r="G433" s="4">
        <f t="shared" si="26"/>
        <v>300000</v>
      </c>
      <c r="H433" s="4">
        <f t="shared" si="27"/>
        <v>-80000</v>
      </c>
    </row>
    <row r="434" spans="2:8" x14ac:dyDescent="0.35">
      <c r="B434" s="5">
        <v>12589.770195623645</v>
      </c>
      <c r="C434" s="6">
        <f t="shared" si="24"/>
        <v>300000</v>
      </c>
      <c r="D434" s="5">
        <f t="shared" si="25"/>
        <v>381283.91369365517</v>
      </c>
      <c r="F434" s="4">
        <v>4182.8974272896512</v>
      </c>
      <c r="G434" s="4">
        <f t="shared" si="26"/>
        <v>209144.87136448256</v>
      </c>
      <c r="H434" s="4">
        <f t="shared" si="27"/>
        <v>-207197.18008972442</v>
      </c>
    </row>
    <row r="435" spans="2:8" x14ac:dyDescent="0.35">
      <c r="B435" s="5">
        <v>14371.288186284983</v>
      </c>
      <c r="C435" s="6">
        <f t="shared" si="24"/>
        <v>300000</v>
      </c>
      <c r="D435" s="5">
        <f t="shared" si="25"/>
        <v>505990.1730399488</v>
      </c>
      <c r="F435" s="4">
        <v>5841.4258247627185</v>
      </c>
      <c r="G435" s="4">
        <f t="shared" si="26"/>
        <v>292071.29123813595</v>
      </c>
      <c r="H435" s="4">
        <f t="shared" si="27"/>
        <v>-91100.192266609694</v>
      </c>
    </row>
    <row r="436" spans="2:8" x14ac:dyDescent="0.35">
      <c r="B436" s="5">
        <v>13864.833521530809</v>
      </c>
      <c r="C436" s="6">
        <f t="shared" si="24"/>
        <v>300000</v>
      </c>
      <c r="D436" s="5">
        <f t="shared" si="25"/>
        <v>470538.34650715662</v>
      </c>
      <c r="F436" s="4">
        <v>4430.4025391399882</v>
      </c>
      <c r="G436" s="4">
        <f t="shared" si="26"/>
        <v>221520.12695699942</v>
      </c>
      <c r="H436" s="4">
        <f t="shared" si="27"/>
        <v>-189871.8222602008</v>
      </c>
    </row>
    <row r="437" spans="2:8" x14ac:dyDescent="0.35">
      <c r="B437" s="5">
        <v>16766.991180150762</v>
      </c>
      <c r="C437" s="6">
        <f t="shared" si="24"/>
        <v>300000</v>
      </c>
      <c r="D437" s="5">
        <f t="shared" si="25"/>
        <v>550000</v>
      </c>
      <c r="F437" s="4">
        <v>7968.2607501449629</v>
      </c>
      <c r="G437" s="4">
        <f t="shared" si="26"/>
        <v>300000</v>
      </c>
      <c r="H437" s="4">
        <f t="shared" si="27"/>
        <v>-80000</v>
      </c>
    </row>
    <row r="438" spans="2:8" x14ac:dyDescent="0.35">
      <c r="B438" s="5">
        <v>13724.753563035982</v>
      </c>
      <c r="C438" s="6">
        <f t="shared" si="24"/>
        <v>300000</v>
      </c>
      <c r="D438" s="5">
        <f t="shared" si="25"/>
        <v>460732.74941251869</v>
      </c>
      <c r="F438" s="4">
        <v>6948.6373485518961</v>
      </c>
      <c r="G438" s="4">
        <f t="shared" si="26"/>
        <v>300000</v>
      </c>
      <c r="H438" s="4">
        <f t="shared" si="27"/>
        <v>-80000</v>
      </c>
    </row>
    <row r="439" spans="2:8" x14ac:dyDescent="0.35">
      <c r="B439" s="5">
        <v>13922.513504440443</v>
      </c>
      <c r="C439" s="6">
        <f t="shared" si="24"/>
        <v>300000</v>
      </c>
      <c r="D439" s="5">
        <f t="shared" si="25"/>
        <v>474575.94531083107</v>
      </c>
      <c r="F439" s="4">
        <v>6204.2909024323253</v>
      </c>
      <c r="G439" s="4">
        <f t="shared" si="26"/>
        <v>300000</v>
      </c>
      <c r="H439" s="4">
        <f t="shared" si="27"/>
        <v>-80000</v>
      </c>
    </row>
    <row r="440" spans="2:8" x14ac:dyDescent="0.35">
      <c r="B440" s="5">
        <v>13423.383281960509</v>
      </c>
      <c r="C440" s="6">
        <f t="shared" si="24"/>
        <v>300000</v>
      </c>
      <c r="D440" s="5">
        <f t="shared" si="25"/>
        <v>439636.82973723556</v>
      </c>
      <c r="F440" s="4">
        <v>7412.0609149449137</v>
      </c>
      <c r="G440" s="4">
        <f t="shared" si="26"/>
        <v>300000</v>
      </c>
      <c r="H440" s="4">
        <f t="shared" si="27"/>
        <v>-80000</v>
      </c>
    </row>
    <row r="441" spans="2:8" x14ac:dyDescent="0.35">
      <c r="B441" s="5">
        <v>12214.54512161626</v>
      </c>
      <c r="C441" s="6">
        <f t="shared" si="24"/>
        <v>300000</v>
      </c>
      <c r="D441" s="5">
        <f t="shared" si="25"/>
        <v>355018.15851313819</v>
      </c>
      <c r="F441" s="4">
        <v>6666.1885433515426</v>
      </c>
      <c r="G441" s="4">
        <f t="shared" si="26"/>
        <v>300000</v>
      </c>
      <c r="H441" s="4">
        <f t="shared" si="27"/>
        <v>-80000</v>
      </c>
    </row>
    <row r="442" spans="2:8" x14ac:dyDescent="0.35">
      <c r="B442" s="5">
        <v>13732.38319040498</v>
      </c>
      <c r="C442" s="6">
        <f t="shared" si="24"/>
        <v>300000</v>
      </c>
      <c r="D442" s="5">
        <f t="shared" si="25"/>
        <v>461266.82332834858</v>
      </c>
      <c r="F442" s="4">
        <v>3364.5435956907863</v>
      </c>
      <c r="G442" s="4">
        <f t="shared" si="26"/>
        <v>168227.17978453933</v>
      </c>
      <c r="H442" s="4">
        <f t="shared" si="27"/>
        <v>-264481.948301645</v>
      </c>
    </row>
    <row r="443" spans="2:8" x14ac:dyDescent="0.35">
      <c r="B443" s="5">
        <v>13685.689870906705</v>
      </c>
      <c r="C443" s="6">
        <f t="shared" si="24"/>
        <v>300000</v>
      </c>
      <c r="D443" s="5">
        <f t="shared" si="25"/>
        <v>457998.29096346931</v>
      </c>
      <c r="F443" s="4">
        <v>3107.4251533555102</v>
      </c>
      <c r="G443" s="4">
        <f t="shared" si="26"/>
        <v>155371.2576677755</v>
      </c>
      <c r="H443" s="4">
        <f t="shared" si="27"/>
        <v>-282480.2392651143</v>
      </c>
    </row>
    <row r="444" spans="2:8" x14ac:dyDescent="0.35">
      <c r="B444" s="5">
        <v>13262.092959379865</v>
      </c>
      <c r="C444" s="6">
        <f t="shared" si="24"/>
        <v>300000</v>
      </c>
      <c r="D444" s="5">
        <f t="shared" si="25"/>
        <v>428346.50715659047</v>
      </c>
      <c r="F444" s="4">
        <v>7204.0772728659931</v>
      </c>
      <c r="G444" s="4">
        <f t="shared" si="26"/>
        <v>300000</v>
      </c>
      <c r="H444" s="4">
        <f t="shared" si="27"/>
        <v>-80000</v>
      </c>
    </row>
    <row r="445" spans="2:8" x14ac:dyDescent="0.35">
      <c r="B445" s="5">
        <v>14853.785821100497</v>
      </c>
      <c r="C445" s="6">
        <f t="shared" si="24"/>
        <v>300000</v>
      </c>
      <c r="D445" s="5">
        <f t="shared" si="25"/>
        <v>539765.00747703481</v>
      </c>
      <c r="F445" s="4">
        <v>3920.1330607013151</v>
      </c>
      <c r="G445" s="4">
        <f t="shared" si="26"/>
        <v>196006.65303506574</v>
      </c>
      <c r="H445" s="4">
        <f t="shared" si="27"/>
        <v>-225590.68575090793</v>
      </c>
    </row>
    <row r="446" spans="2:8" x14ac:dyDescent="0.35">
      <c r="B446" s="5">
        <v>15724.631488998079</v>
      </c>
      <c r="C446" s="6">
        <f t="shared" si="24"/>
        <v>300000</v>
      </c>
      <c r="D446" s="5">
        <f t="shared" si="25"/>
        <v>550000</v>
      </c>
      <c r="F446" s="4">
        <v>7308.1453901791438</v>
      </c>
      <c r="G446" s="4">
        <f t="shared" si="26"/>
        <v>300000</v>
      </c>
      <c r="H446" s="4">
        <f t="shared" si="27"/>
        <v>-80000</v>
      </c>
    </row>
    <row r="447" spans="2:8" x14ac:dyDescent="0.35">
      <c r="B447" s="5">
        <v>13848.811304055909</v>
      </c>
      <c r="C447" s="6">
        <f t="shared" si="24"/>
        <v>300000</v>
      </c>
      <c r="D447" s="5">
        <f t="shared" si="25"/>
        <v>469416.79128391366</v>
      </c>
      <c r="F447" s="4">
        <v>7373.1498153630173</v>
      </c>
      <c r="G447" s="4">
        <f t="shared" si="26"/>
        <v>300000</v>
      </c>
      <c r="H447" s="4">
        <f t="shared" si="27"/>
        <v>-80000</v>
      </c>
    </row>
    <row r="448" spans="2:8" x14ac:dyDescent="0.35">
      <c r="B448" s="5">
        <v>16745.780816064944</v>
      </c>
      <c r="C448" s="6">
        <f t="shared" si="24"/>
        <v>300000</v>
      </c>
      <c r="D448" s="5">
        <f t="shared" si="25"/>
        <v>550000</v>
      </c>
      <c r="F448" s="4">
        <v>6479.4152653584397</v>
      </c>
      <c r="G448" s="4">
        <f t="shared" si="26"/>
        <v>300000</v>
      </c>
      <c r="H448" s="4">
        <f t="shared" si="27"/>
        <v>-80000</v>
      </c>
    </row>
    <row r="449" spans="2:8" x14ac:dyDescent="0.35">
      <c r="B449" s="5">
        <v>15306.833094271675</v>
      </c>
      <c r="C449" s="6">
        <f t="shared" si="24"/>
        <v>300000</v>
      </c>
      <c r="D449" s="5">
        <f t="shared" si="25"/>
        <v>550000</v>
      </c>
      <c r="F449" s="4">
        <v>3793.7864314706871</v>
      </c>
      <c r="G449" s="4">
        <f t="shared" si="26"/>
        <v>189689.32157353437</v>
      </c>
      <c r="H449" s="4">
        <f t="shared" si="27"/>
        <v>-234434.9497970519</v>
      </c>
    </row>
    <row r="450" spans="2:8" x14ac:dyDescent="0.35">
      <c r="B450" s="5">
        <v>13188.238166447951</v>
      </c>
      <c r="C450" s="6">
        <f t="shared" si="24"/>
        <v>300000</v>
      </c>
      <c r="D450" s="5">
        <f t="shared" si="25"/>
        <v>423176.6716513565</v>
      </c>
      <c r="F450" s="4">
        <v>7840.3881954405351</v>
      </c>
      <c r="G450" s="4">
        <f t="shared" si="26"/>
        <v>300000</v>
      </c>
      <c r="H450" s="4">
        <f t="shared" si="27"/>
        <v>-80000</v>
      </c>
    </row>
    <row r="451" spans="2:8" x14ac:dyDescent="0.35">
      <c r="B451" s="5">
        <v>15389.690847499009</v>
      </c>
      <c r="C451" s="6">
        <f t="shared" si="24"/>
        <v>300000</v>
      </c>
      <c r="D451" s="5">
        <f t="shared" si="25"/>
        <v>550000</v>
      </c>
      <c r="F451" s="4">
        <v>5560.9607226783046</v>
      </c>
      <c r="G451" s="4">
        <f t="shared" si="26"/>
        <v>278048.03613391524</v>
      </c>
      <c r="H451" s="4">
        <f t="shared" si="27"/>
        <v>-110732.74941251869</v>
      </c>
    </row>
    <row r="452" spans="2:8" x14ac:dyDescent="0.35">
      <c r="B452" s="5">
        <v>14126.834925382245</v>
      </c>
      <c r="C452" s="6">
        <f t="shared" si="24"/>
        <v>300000</v>
      </c>
      <c r="D452" s="5">
        <f t="shared" si="25"/>
        <v>488878.44477675715</v>
      </c>
      <c r="F452" s="4">
        <v>6830.2255317850277</v>
      </c>
      <c r="G452" s="4">
        <f t="shared" si="26"/>
        <v>300000</v>
      </c>
      <c r="H452" s="4">
        <f t="shared" si="27"/>
        <v>-80000</v>
      </c>
    </row>
    <row r="453" spans="2:8" x14ac:dyDescent="0.35">
      <c r="B453" s="5">
        <v>15756.523331400494</v>
      </c>
      <c r="C453" s="6">
        <f t="shared" si="24"/>
        <v>300000</v>
      </c>
      <c r="D453" s="5">
        <f t="shared" si="25"/>
        <v>550000</v>
      </c>
      <c r="F453" s="4">
        <v>5194.586016418958</v>
      </c>
      <c r="G453" s="4">
        <f t="shared" si="26"/>
        <v>259729.30082094792</v>
      </c>
      <c r="H453" s="4">
        <f t="shared" si="27"/>
        <v>-136378.97885067295</v>
      </c>
    </row>
    <row r="454" spans="2:8" x14ac:dyDescent="0.35">
      <c r="B454" s="5">
        <v>13249.732963042085</v>
      </c>
      <c r="C454" s="6">
        <f t="shared" si="24"/>
        <v>300000</v>
      </c>
      <c r="D454" s="5">
        <f t="shared" si="25"/>
        <v>427481.3074129459</v>
      </c>
      <c r="F454" s="4">
        <v>4687.063203833125</v>
      </c>
      <c r="G454" s="4">
        <f t="shared" si="26"/>
        <v>234353.16019165626</v>
      </c>
      <c r="H454" s="4">
        <f t="shared" si="27"/>
        <v>-171905.57573168125</v>
      </c>
    </row>
    <row r="455" spans="2:8" x14ac:dyDescent="0.35">
      <c r="B455" s="5">
        <v>13405.987731559191</v>
      </c>
      <c r="C455" s="6">
        <f t="shared" si="24"/>
        <v>300000</v>
      </c>
      <c r="D455" s="5">
        <f t="shared" si="25"/>
        <v>438419.14120914333</v>
      </c>
      <c r="F455" s="4">
        <v>6649.4033631397442</v>
      </c>
      <c r="G455" s="4">
        <f t="shared" si="26"/>
        <v>300000</v>
      </c>
      <c r="H455" s="4">
        <f t="shared" si="27"/>
        <v>-80000</v>
      </c>
    </row>
    <row r="456" spans="2:8" x14ac:dyDescent="0.35">
      <c r="B456" s="5">
        <v>13180.303353984191</v>
      </c>
      <c r="C456" s="6">
        <f t="shared" si="24"/>
        <v>300000</v>
      </c>
      <c r="D456" s="5">
        <f t="shared" si="25"/>
        <v>422621.23477889341</v>
      </c>
      <c r="F456" s="4">
        <v>4352.4277474288156</v>
      </c>
      <c r="G456" s="4">
        <f t="shared" si="26"/>
        <v>217621.38737144077</v>
      </c>
      <c r="H456" s="4">
        <f t="shared" si="27"/>
        <v>-195330.05767998291</v>
      </c>
    </row>
    <row r="457" spans="2:8" x14ac:dyDescent="0.35">
      <c r="B457" s="5">
        <v>16171.727652821435</v>
      </c>
      <c r="C457" s="6">
        <f t="shared" si="24"/>
        <v>300000</v>
      </c>
      <c r="D457" s="5">
        <f t="shared" si="25"/>
        <v>550000</v>
      </c>
      <c r="F457" s="4">
        <v>3245.2162236396375</v>
      </c>
      <c r="G457" s="4">
        <f t="shared" si="26"/>
        <v>162260.81118198187</v>
      </c>
      <c r="H457" s="4">
        <f t="shared" si="27"/>
        <v>-272834.86434522539</v>
      </c>
    </row>
    <row r="458" spans="2:8" x14ac:dyDescent="0.35">
      <c r="B458" s="5">
        <v>13621.14322336497</v>
      </c>
      <c r="C458" s="6">
        <f t="shared" si="24"/>
        <v>300000</v>
      </c>
      <c r="D458" s="5">
        <f t="shared" si="25"/>
        <v>453480.02563554794</v>
      </c>
      <c r="F458" s="4">
        <v>4747.3372600482198</v>
      </c>
      <c r="G458" s="4">
        <f t="shared" si="26"/>
        <v>237366.863002411</v>
      </c>
      <c r="H458" s="4">
        <f t="shared" si="27"/>
        <v>-167686.39179662464</v>
      </c>
    </row>
    <row r="459" spans="2:8" x14ac:dyDescent="0.35">
      <c r="B459" s="5">
        <v>14402.26447340312</v>
      </c>
      <c r="C459" s="6">
        <f t="shared" si="24"/>
        <v>300000</v>
      </c>
      <c r="D459" s="5">
        <f t="shared" si="25"/>
        <v>508158.51313821843</v>
      </c>
      <c r="F459" s="4">
        <v>5638.1725516525767</v>
      </c>
      <c r="G459" s="4">
        <f t="shared" si="26"/>
        <v>281908.62758262886</v>
      </c>
      <c r="H459" s="4">
        <f t="shared" si="27"/>
        <v>-105327.92138431966</v>
      </c>
    </row>
    <row r="460" spans="2:8" x14ac:dyDescent="0.35">
      <c r="B460" s="5">
        <v>12970.64119388409</v>
      </c>
      <c r="C460" s="6">
        <f t="shared" ref="C460:C523" si="28">50*MIN(B460,6000)</f>
        <v>300000</v>
      </c>
      <c r="D460" s="5">
        <f t="shared" ref="D460:D523" si="29">70*MIN(B460,15000)-500000</f>
        <v>407944.88357188634</v>
      </c>
      <c r="F460" s="4">
        <v>4457.8691976683858</v>
      </c>
      <c r="G460" s="4">
        <f t="shared" ref="G460:G523" si="30">50*MIN(F460,6000)</f>
        <v>222893.4598834193</v>
      </c>
      <c r="H460" s="4">
        <f t="shared" ref="H460:H523" si="31">70*MIN(F460,6000)-500000</f>
        <v>-187949.15616321302</v>
      </c>
    </row>
    <row r="461" spans="2:8" x14ac:dyDescent="0.35">
      <c r="B461" s="5">
        <v>16130.22247993408</v>
      </c>
      <c r="C461" s="6">
        <f t="shared" si="28"/>
        <v>300000</v>
      </c>
      <c r="D461" s="5">
        <f t="shared" si="29"/>
        <v>550000</v>
      </c>
      <c r="F461" s="4">
        <v>7972.5333414716024</v>
      </c>
      <c r="G461" s="4">
        <f t="shared" si="30"/>
        <v>300000</v>
      </c>
      <c r="H461" s="4">
        <f t="shared" si="31"/>
        <v>-80000</v>
      </c>
    </row>
    <row r="462" spans="2:8" x14ac:dyDescent="0.35">
      <c r="B462" s="5">
        <v>12760.36866359447</v>
      </c>
      <c r="C462" s="6">
        <f t="shared" si="28"/>
        <v>300000</v>
      </c>
      <c r="D462" s="5">
        <f t="shared" si="29"/>
        <v>393225.80645161297</v>
      </c>
      <c r="F462" s="4">
        <v>6655.2018799401831</v>
      </c>
      <c r="G462" s="4">
        <f t="shared" si="30"/>
        <v>300000</v>
      </c>
      <c r="H462" s="4">
        <f t="shared" si="31"/>
        <v>-80000</v>
      </c>
    </row>
    <row r="463" spans="2:8" x14ac:dyDescent="0.35">
      <c r="B463" s="5">
        <v>13935.636463515122</v>
      </c>
      <c r="C463" s="6">
        <f t="shared" si="28"/>
        <v>300000</v>
      </c>
      <c r="D463" s="5">
        <f t="shared" si="29"/>
        <v>475494.5524460586</v>
      </c>
      <c r="F463" s="4">
        <v>7984.2829676198617</v>
      </c>
      <c r="G463" s="4">
        <f t="shared" si="30"/>
        <v>300000</v>
      </c>
      <c r="H463" s="4">
        <f t="shared" si="31"/>
        <v>-80000</v>
      </c>
    </row>
    <row r="464" spans="2:8" x14ac:dyDescent="0.35">
      <c r="B464" s="5">
        <v>16535.050508133183</v>
      </c>
      <c r="C464" s="6">
        <f t="shared" si="28"/>
        <v>300000</v>
      </c>
      <c r="D464" s="5">
        <f t="shared" si="29"/>
        <v>550000</v>
      </c>
      <c r="F464" s="4">
        <v>4197.2411267433699</v>
      </c>
      <c r="G464" s="4">
        <f t="shared" si="30"/>
        <v>209862.0563371685</v>
      </c>
      <c r="H464" s="4">
        <f t="shared" si="31"/>
        <v>-206193.12112796411</v>
      </c>
    </row>
    <row r="465" spans="2:8" x14ac:dyDescent="0.35">
      <c r="B465" s="5">
        <v>14891.323587755975</v>
      </c>
      <c r="C465" s="6">
        <f t="shared" si="28"/>
        <v>300000</v>
      </c>
      <c r="D465" s="5">
        <f t="shared" si="29"/>
        <v>542392.65114291827</v>
      </c>
      <c r="F465" s="4">
        <v>5463.3014923551127</v>
      </c>
      <c r="G465" s="4">
        <f t="shared" si="30"/>
        <v>273165.07461775566</v>
      </c>
      <c r="H465" s="4">
        <f t="shared" si="31"/>
        <v>-117568.8955351421</v>
      </c>
    </row>
    <row r="466" spans="2:8" x14ac:dyDescent="0.35">
      <c r="B466" s="5">
        <v>15273.720511490219</v>
      </c>
      <c r="C466" s="6">
        <f t="shared" si="28"/>
        <v>300000</v>
      </c>
      <c r="D466" s="5">
        <f t="shared" si="29"/>
        <v>550000</v>
      </c>
      <c r="F466" s="4">
        <v>7932.7066866054265</v>
      </c>
      <c r="G466" s="4">
        <f t="shared" si="30"/>
        <v>300000</v>
      </c>
      <c r="H466" s="4">
        <f t="shared" si="31"/>
        <v>-80000</v>
      </c>
    </row>
    <row r="467" spans="2:8" x14ac:dyDescent="0.35">
      <c r="B467" s="5">
        <v>13531.57139805292</v>
      </c>
      <c r="C467" s="6">
        <f t="shared" si="28"/>
        <v>300000</v>
      </c>
      <c r="D467" s="5">
        <f t="shared" si="29"/>
        <v>447209.99786370434</v>
      </c>
      <c r="F467" s="4">
        <v>6270.9738456373789</v>
      </c>
      <c r="G467" s="4">
        <f t="shared" si="30"/>
        <v>300000</v>
      </c>
      <c r="H467" s="4">
        <f t="shared" si="31"/>
        <v>-80000</v>
      </c>
    </row>
    <row r="468" spans="2:8" x14ac:dyDescent="0.35">
      <c r="B468" s="5">
        <v>15764.610736411634</v>
      </c>
      <c r="C468" s="6">
        <f t="shared" si="28"/>
        <v>300000</v>
      </c>
      <c r="D468" s="5">
        <f t="shared" si="29"/>
        <v>550000</v>
      </c>
      <c r="F468" s="4">
        <v>7872.890408032471</v>
      </c>
      <c r="G468" s="4">
        <f t="shared" si="30"/>
        <v>300000</v>
      </c>
      <c r="H468" s="4">
        <f t="shared" si="31"/>
        <v>-80000</v>
      </c>
    </row>
    <row r="469" spans="2:8" x14ac:dyDescent="0.35">
      <c r="B469" s="5">
        <v>14879.116183965574</v>
      </c>
      <c r="C469" s="6">
        <f t="shared" si="28"/>
        <v>300000</v>
      </c>
      <c r="D469" s="5">
        <f t="shared" si="29"/>
        <v>541538.13287759025</v>
      </c>
      <c r="F469" s="4">
        <v>4151.0055848872344</v>
      </c>
      <c r="G469" s="4">
        <f t="shared" si="30"/>
        <v>207550.27924436171</v>
      </c>
      <c r="H469" s="4">
        <f t="shared" si="31"/>
        <v>-209429.60905789357</v>
      </c>
    </row>
    <row r="470" spans="2:8" x14ac:dyDescent="0.35">
      <c r="B470" s="5">
        <v>12094.607379375591</v>
      </c>
      <c r="C470" s="6">
        <f t="shared" si="28"/>
        <v>300000</v>
      </c>
      <c r="D470" s="5">
        <f t="shared" si="29"/>
        <v>346622.51655629138</v>
      </c>
      <c r="F470" s="4">
        <v>6759.2699972533337</v>
      </c>
      <c r="G470" s="4">
        <f t="shared" si="30"/>
        <v>300000</v>
      </c>
      <c r="H470" s="4">
        <f t="shared" si="31"/>
        <v>-80000</v>
      </c>
    </row>
    <row r="471" spans="2:8" x14ac:dyDescent="0.35">
      <c r="B471" s="5">
        <v>13271.553697317424</v>
      </c>
      <c r="C471" s="6">
        <f t="shared" si="28"/>
        <v>300000</v>
      </c>
      <c r="D471" s="5">
        <f t="shared" si="29"/>
        <v>429008.75881221972</v>
      </c>
      <c r="F471" s="4">
        <v>3022.125919370098</v>
      </c>
      <c r="G471" s="4">
        <f t="shared" si="30"/>
        <v>151106.29596850491</v>
      </c>
      <c r="H471" s="4">
        <f t="shared" si="31"/>
        <v>-288451.18564409314</v>
      </c>
    </row>
    <row r="472" spans="2:8" x14ac:dyDescent="0.35">
      <c r="B472" s="5">
        <v>14264.625995666371</v>
      </c>
      <c r="C472" s="6">
        <f t="shared" si="28"/>
        <v>300000</v>
      </c>
      <c r="D472" s="5">
        <f t="shared" si="29"/>
        <v>498523.81969664595</v>
      </c>
      <c r="F472" s="4">
        <v>4224.7077852717675</v>
      </c>
      <c r="G472" s="4">
        <f t="shared" si="30"/>
        <v>211235.38926358838</v>
      </c>
      <c r="H472" s="4">
        <f t="shared" si="31"/>
        <v>-204270.45503097627</v>
      </c>
    </row>
    <row r="473" spans="2:8" x14ac:dyDescent="0.35">
      <c r="B473" s="5">
        <v>16228.186895352032</v>
      </c>
      <c r="C473" s="6">
        <f t="shared" si="28"/>
        <v>300000</v>
      </c>
      <c r="D473" s="5">
        <f t="shared" si="29"/>
        <v>550000</v>
      </c>
      <c r="F473" s="4">
        <v>6382.5189977721493</v>
      </c>
      <c r="G473" s="4">
        <f t="shared" si="30"/>
        <v>300000</v>
      </c>
      <c r="H473" s="4">
        <f t="shared" si="31"/>
        <v>-80000</v>
      </c>
    </row>
    <row r="474" spans="2:8" x14ac:dyDescent="0.35">
      <c r="B474" s="5">
        <v>12470.595416119877</v>
      </c>
      <c r="C474" s="6">
        <f t="shared" si="28"/>
        <v>300000</v>
      </c>
      <c r="D474" s="5">
        <f t="shared" si="29"/>
        <v>372941.67912839144</v>
      </c>
      <c r="F474" s="4">
        <v>7893.9481795709098</v>
      </c>
      <c r="G474" s="4">
        <f t="shared" si="30"/>
        <v>300000</v>
      </c>
      <c r="H474" s="4">
        <f t="shared" si="31"/>
        <v>-80000</v>
      </c>
    </row>
    <row r="475" spans="2:8" x14ac:dyDescent="0.35">
      <c r="B475" s="5">
        <v>13962.492751853999</v>
      </c>
      <c r="C475" s="6">
        <f t="shared" si="28"/>
        <v>300000</v>
      </c>
      <c r="D475" s="5">
        <f t="shared" si="29"/>
        <v>477374.49262977997</v>
      </c>
      <c r="F475" s="4">
        <v>6063.6005737479782</v>
      </c>
      <c r="G475" s="4">
        <f t="shared" si="30"/>
        <v>300000</v>
      </c>
      <c r="H475" s="4">
        <f t="shared" si="31"/>
        <v>-80000</v>
      </c>
    </row>
    <row r="476" spans="2:8" x14ac:dyDescent="0.35">
      <c r="B476" s="5">
        <v>16472.945341349528</v>
      </c>
      <c r="C476" s="6">
        <f t="shared" si="28"/>
        <v>300000</v>
      </c>
      <c r="D476" s="5">
        <f t="shared" si="29"/>
        <v>550000</v>
      </c>
      <c r="F476" s="4">
        <v>5969.6035645619068</v>
      </c>
      <c r="G476" s="4">
        <f t="shared" si="30"/>
        <v>298480.17822809535</v>
      </c>
      <c r="H476" s="4">
        <f t="shared" si="31"/>
        <v>-82127.750480666524</v>
      </c>
    </row>
    <row r="477" spans="2:8" x14ac:dyDescent="0.35">
      <c r="B477" s="5">
        <v>12551.164281136509</v>
      </c>
      <c r="C477" s="6">
        <f t="shared" si="28"/>
        <v>300000</v>
      </c>
      <c r="D477" s="5">
        <f t="shared" si="29"/>
        <v>378581.49967955565</v>
      </c>
      <c r="F477" s="4">
        <v>7925.5348368785671</v>
      </c>
      <c r="G477" s="4">
        <f t="shared" si="30"/>
        <v>300000</v>
      </c>
      <c r="H477" s="4">
        <f t="shared" si="31"/>
        <v>-80000</v>
      </c>
    </row>
    <row r="478" spans="2:8" x14ac:dyDescent="0.35">
      <c r="B478" s="5">
        <v>12284.432508316293</v>
      </c>
      <c r="C478" s="6">
        <f t="shared" si="28"/>
        <v>300000</v>
      </c>
      <c r="D478" s="5">
        <f t="shared" si="29"/>
        <v>359910.27558214054</v>
      </c>
      <c r="F478" s="4">
        <v>4776.9402142399367</v>
      </c>
      <c r="G478" s="4">
        <f t="shared" si="30"/>
        <v>238847.01071199685</v>
      </c>
      <c r="H478" s="4">
        <f t="shared" si="31"/>
        <v>-165614.18500320445</v>
      </c>
    </row>
    <row r="479" spans="2:8" x14ac:dyDescent="0.35">
      <c r="B479" s="5">
        <v>15290.810876796777</v>
      </c>
      <c r="C479" s="6">
        <f t="shared" si="28"/>
        <v>300000</v>
      </c>
      <c r="D479" s="5">
        <f t="shared" si="29"/>
        <v>550000</v>
      </c>
      <c r="F479" s="4">
        <v>5339.7015289773244</v>
      </c>
      <c r="G479" s="4">
        <f t="shared" si="30"/>
        <v>266985.07644886622</v>
      </c>
      <c r="H479" s="4">
        <f t="shared" si="31"/>
        <v>-126220.89297158731</v>
      </c>
    </row>
    <row r="480" spans="2:8" x14ac:dyDescent="0.35">
      <c r="B480" s="5">
        <v>13820.429090243233</v>
      </c>
      <c r="C480" s="6">
        <f t="shared" si="28"/>
        <v>300000</v>
      </c>
      <c r="D480" s="5">
        <f t="shared" si="29"/>
        <v>467430.03631702636</v>
      </c>
      <c r="F480" s="4">
        <v>4975.1579332865385</v>
      </c>
      <c r="G480" s="4">
        <f t="shared" si="30"/>
        <v>248757.89666432692</v>
      </c>
      <c r="H480" s="4">
        <f t="shared" si="31"/>
        <v>-151738.94466994231</v>
      </c>
    </row>
    <row r="481" spans="2:8" x14ac:dyDescent="0.35">
      <c r="B481" s="5">
        <v>15583.02560502945</v>
      </c>
      <c r="C481" s="6">
        <f t="shared" si="28"/>
        <v>300000</v>
      </c>
      <c r="D481" s="5">
        <f t="shared" si="29"/>
        <v>550000</v>
      </c>
      <c r="F481" s="4">
        <v>5572.7103488265639</v>
      </c>
      <c r="G481" s="4">
        <f t="shared" si="30"/>
        <v>278635.51744132821</v>
      </c>
      <c r="H481" s="4">
        <f t="shared" si="31"/>
        <v>-109910.27558214054</v>
      </c>
    </row>
    <row r="482" spans="2:8" x14ac:dyDescent="0.35">
      <c r="B482" s="5">
        <v>15748.588518936735</v>
      </c>
      <c r="C482" s="6">
        <f t="shared" si="28"/>
        <v>300000</v>
      </c>
      <c r="D482" s="5">
        <f t="shared" si="29"/>
        <v>550000</v>
      </c>
      <c r="F482" s="4">
        <v>7346.4461195715203</v>
      </c>
      <c r="G482" s="4">
        <f t="shared" si="30"/>
        <v>300000</v>
      </c>
      <c r="H482" s="4">
        <f t="shared" si="31"/>
        <v>-80000</v>
      </c>
    </row>
    <row r="483" spans="2:8" x14ac:dyDescent="0.35">
      <c r="B483" s="5">
        <v>13870.479445783869</v>
      </c>
      <c r="C483" s="6">
        <f t="shared" si="28"/>
        <v>300000</v>
      </c>
      <c r="D483" s="5">
        <f t="shared" si="29"/>
        <v>470933.56120487081</v>
      </c>
      <c r="F483" s="4">
        <v>7592.8830835901972</v>
      </c>
      <c r="G483" s="4">
        <f t="shared" si="30"/>
        <v>300000</v>
      </c>
      <c r="H483" s="4">
        <f t="shared" si="31"/>
        <v>-80000</v>
      </c>
    </row>
    <row r="484" spans="2:8" x14ac:dyDescent="0.35">
      <c r="B484" s="5">
        <v>16214.148380993072</v>
      </c>
      <c r="C484" s="6">
        <f t="shared" si="28"/>
        <v>300000</v>
      </c>
      <c r="D484" s="5">
        <f t="shared" si="29"/>
        <v>550000</v>
      </c>
      <c r="F484" s="4">
        <v>3849.3301187170018</v>
      </c>
      <c r="G484" s="4">
        <f t="shared" si="30"/>
        <v>192466.50593585009</v>
      </c>
      <c r="H484" s="4">
        <f t="shared" si="31"/>
        <v>-230546.89168980985</v>
      </c>
    </row>
    <row r="485" spans="2:8" x14ac:dyDescent="0.35">
      <c r="B485" s="5">
        <v>13857.66167180395</v>
      </c>
      <c r="C485" s="6">
        <f t="shared" si="28"/>
        <v>300000</v>
      </c>
      <c r="D485" s="5">
        <f t="shared" si="29"/>
        <v>470036.31702627649</v>
      </c>
      <c r="F485" s="4">
        <v>5495.8037049470504</v>
      </c>
      <c r="G485" s="4">
        <f t="shared" si="30"/>
        <v>274790.18524735252</v>
      </c>
      <c r="H485" s="4">
        <f t="shared" si="31"/>
        <v>-115293.74065370648</v>
      </c>
    </row>
    <row r="486" spans="2:8" x14ac:dyDescent="0.35">
      <c r="B486" s="5">
        <v>14996.917630542925</v>
      </c>
      <c r="C486" s="6">
        <f t="shared" si="28"/>
        <v>300000</v>
      </c>
      <c r="D486" s="5">
        <f t="shared" si="29"/>
        <v>549784.23413800471</v>
      </c>
      <c r="F486" s="4">
        <v>7596.6978972746965</v>
      </c>
      <c r="G486" s="4">
        <f t="shared" si="30"/>
        <v>300000</v>
      </c>
      <c r="H486" s="4">
        <f t="shared" si="31"/>
        <v>-80000</v>
      </c>
    </row>
    <row r="487" spans="2:8" x14ac:dyDescent="0.35">
      <c r="B487" s="5">
        <v>12589.159825434126</v>
      </c>
      <c r="C487" s="6">
        <f t="shared" si="28"/>
        <v>300000</v>
      </c>
      <c r="D487" s="5">
        <f t="shared" si="29"/>
        <v>381241.18778038886</v>
      </c>
      <c r="F487" s="4">
        <v>7808.3437604907376</v>
      </c>
      <c r="G487" s="4">
        <f t="shared" si="30"/>
        <v>300000</v>
      </c>
      <c r="H487" s="4">
        <f t="shared" si="31"/>
        <v>-80000</v>
      </c>
    </row>
    <row r="488" spans="2:8" x14ac:dyDescent="0.35">
      <c r="B488" s="5">
        <v>14622.150334177679</v>
      </c>
      <c r="C488" s="6">
        <f t="shared" si="28"/>
        <v>300000</v>
      </c>
      <c r="D488" s="5">
        <f t="shared" si="29"/>
        <v>523550.52339243749</v>
      </c>
      <c r="F488" s="4">
        <v>7228.7972655415515</v>
      </c>
      <c r="G488" s="4">
        <f t="shared" si="30"/>
        <v>300000</v>
      </c>
      <c r="H488" s="4">
        <f t="shared" si="31"/>
        <v>-80000</v>
      </c>
    </row>
    <row r="489" spans="2:8" x14ac:dyDescent="0.35">
      <c r="B489" s="5">
        <v>13076.08264412366</v>
      </c>
      <c r="C489" s="6">
        <f t="shared" si="28"/>
        <v>300000</v>
      </c>
      <c r="D489" s="5">
        <f t="shared" si="29"/>
        <v>415325.78508865624</v>
      </c>
      <c r="F489" s="4">
        <v>7509.7201452681047</v>
      </c>
      <c r="G489" s="4">
        <f t="shared" si="30"/>
        <v>300000</v>
      </c>
      <c r="H489" s="4">
        <f t="shared" si="31"/>
        <v>-80000</v>
      </c>
    </row>
    <row r="490" spans="2:8" x14ac:dyDescent="0.35">
      <c r="B490" s="5">
        <v>14609.790337839901</v>
      </c>
      <c r="C490" s="6">
        <f t="shared" si="28"/>
        <v>300000</v>
      </c>
      <c r="D490" s="5">
        <f t="shared" si="29"/>
        <v>522685.32364879304</v>
      </c>
      <c r="F490" s="4">
        <v>7414.3498031556137</v>
      </c>
      <c r="G490" s="4">
        <f t="shared" si="30"/>
        <v>300000</v>
      </c>
      <c r="H490" s="4">
        <f t="shared" si="31"/>
        <v>-80000</v>
      </c>
    </row>
    <row r="491" spans="2:8" x14ac:dyDescent="0.35">
      <c r="B491" s="5">
        <v>15159.58128604999</v>
      </c>
      <c r="C491" s="6">
        <f t="shared" si="28"/>
        <v>300000</v>
      </c>
      <c r="D491" s="5">
        <f t="shared" si="29"/>
        <v>550000</v>
      </c>
      <c r="F491" s="4">
        <v>3834.3760490737632</v>
      </c>
      <c r="G491" s="4">
        <f t="shared" si="30"/>
        <v>191718.80245368817</v>
      </c>
      <c r="H491" s="4">
        <f t="shared" si="31"/>
        <v>-231593.67656483658</v>
      </c>
    </row>
    <row r="492" spans="2:8" x14ac:dyDescent="0.35">
      <c r="B492" s="5">
        <v>13045.716727195044</v>
      </c>
      <c r="C492" s="6">
        <f t="shared" si="28"/>
        <v>300000</v>
      </c>
      <c r="D492" s="5">
        <f t="shared" si="29"/>
        <v>413200.17090365302</v>
      </c>
      <c r="F492" s="4">
        <v>3542.7716910306099</v>
      </c>
      <c r="G492" s="4">
        <f t="shared" si="30"/>
        <v>177138.58455153048</v>
      </c>
      <c r="H492" s="4">
        <f t="shared" si="31"/>
        <v>-252005.98162785731</v>
      </c>
    </row>
    <row r="493" spans="2:8" x14ac:dyDescent="0.35">
      <c r="B493" s="5">
        <v>13317.484054078799</v>
      </c>
      <c r="C493" s="6">
        <f t="shared" si="28"/>
        <v>300000</v>
      </c>
      <c r="D493" s="5">
        <f t="shared" si="29"/>
        <v>432223.88378551591</v>
      </c>
      <c r="F493" s="4">
        <v>7899.4415112765892</v>
      </c>
      <c r="G493" s="4">
        <f t="shared" si="30"/>
        <v>300000</v>
      </c>
      <c r="H493" s="4">
        <f t="shared" si="31"/>
        <v>-80000</v>
      </c>
    </row>
    <row r="494" spans="2:8" x14ac:dyDescent="0.35">
      <c r="B494" s="5">
        <v>15601.184118167668</v>
      </c>
      <c r="C494" s="6">
        <f t="shared" si="28"/>
        <v>300000</v>
      </c>
      <c r="D494" s="5">
        <f t="shared" si="29"/>
        <v>550000</v>
      </c>
      <c r="F494" s="4">
        <v>5719.8095645008698</v>
      </c>
      <c r="G494" s="4">
        <f t="shared" si="30"/>
        <v>285990.47822504351</v>
      </c>
      <c r="H494" s="4">
        <f t="shared" si="31"/>
        <v>-99613.330484939099</v>
      </c>
    </row>
    <row r="495" spans="2:8" x14ac:dyDescent="0.35">
      <c r="B495" s="5">
        <v>12282.143620105595</v>
      </c>
      <c r="C495" s="6">
        <f t="shared" si="28"/>
        <v>300000</v>
      </c>
      <c r="D495" s="5">
        <f t="shared" si="29"/>
        <v>359750.05340739165</v>
      </c>
      <c r="F495" s="4">
        <v>3082.5525681325726</v>
      </c>
      <c r="G495" s="4">
        <f t="shared" si="30"/>
        <v>154127.62840662862</v>
      </c>
      <c r="H495" s="4">
        <f t="shared" si="31"/>
        <v>-284221.32023071992</v>
      </c>
    </row>
    <row r="496" spans="2:8" x14ac:dyDescent="0.35">
      <c r="B496" s="5">
        <v>15655.201879940183</v>
      </c>
      <c r="C496" s="6">
        <f t="shared" si="28"/>
        <v>300000</v>
      </c>
      <c r="D496" s="5">
        <f t="shared" si="29"/>
        <v>550000</v>
      </c>
      <c r="F496" s="4">
        <v>5540.9710989715259</v>
      </c>
      <c r="G496" s="4">
        <f t="shared" si="30"/>
        <v>277048.55494857632</v>
      </c>
      <c r="H496" s="4">
        <f t="shared" si="31"/>
        <v>-112132.0230719932</v>
      </c>
    </row>
    <row r="497" spans="2:8" x14ac:dyDescent="0.35">
      <c r="B497" s="5">
        <v>15754.997405926693</v>
      </c>
      <c r="C497" s="6">
        <f t="shared" si="28"/>
        <v>300000</v>
      </c>
      <c r="D497" s="5">
        <f t="shared" si="29"/>
        <v>550000</v>
      </c>
      <c r="F497" s="4">
        <v>5968.9931943723868</v>
      </c>
      <c r="G497" s="4">
        <f t="shared" si="30"/>
        <v>298449.65971861937</v>
      </c>
      <c r="H497" s="4">
        <f t="shared" si="31"/>
        <v>-82170.476393932942</v>
      </c>
    </row>
    <row r="498" spans="2:8" x14ac:dyDescent="0.35">
      <c r="B498" s="5">
        <v>15900.570696127201</v>
      </c>
      <c r="C498" s="6">
        <f t="shared" si="28"/>
        <v>300000</v>
      </c>
      <c r="D498" s="5">
        <f t="shared" si="29"/>
        <v>550000</v>
      </c>
      <c r="F498" s="4">
        <v>4446.7299417096474</v>
      </c>
      <c r="G498" s="4">
        <f t="shared" si="30"/>
        <v>222336.49708548238</v>
      </c>
      <c r="H498" s="4">
        <f t="shared" si="31"/>
        <v>-188728.90408032469</v>
      </c>
    </row>
    <row r="499" spans="2:8" x14ac:dyDescent="0.35">
      <c r="B499" s="5">
        <v>13325.571459089939</v>
      </c>
      <c r="C499" s="6">
        <f t="shared" si="28"/>
        <v>300000</v>
      </c>
      <c r="D499" s="5">
        <f t="shared" si="29"/>
        <v>432790.00213629566</v>
      </c>
      <c r="F499" s="4">
        <v>7713.1260109256264</v>
      </c>
      <c r="G499" s="4">
        <f t="shared" si="30"/>
        <v>300000</v>
      </c>
      <c r="H499" s="4">
        <f t="shared" si="31"/>
        <v>-80000</v>
      </c>
    </row>
    <row r="500" spans="2:8" x14ac:dyDescent="0.35">
      <c r="B500" s="5">
        <v>12374.309518723105</v>
      </c>
      <c r="C500" s="6">
        <f t="shared" si="28"/>
        <v>300000</v>
      </c>
      <c r="D500" s="5">
        <f t="shared" si="29"/>
        <v>366201.66631061735</v>
      </c>
      <c r="F500" s="4">
        <v>5357.5548570207829</v>
      </c>
      <c r="G500" s="4">
        <f t="shared" si="30"/>
        <v>267877.74285103916</v>
      </c>
      <c r="H500" s="4">
        <f t="shared" si="31"/>
        <v>-124971.16000854521</v>
      </c>
    </row>
    <row r="501" spans="2:8" x14ac:dyDescent="0.35">
      <c r="B501" s="5">
        <v>14026.886806848353</v>
      </c>
      <c r="C501" s="6">
        <f t="shared" si="28"/>
        <v>300000</v>
      </c>
      <c r="D501" s="5">
        <f t="shared" si="29"/>
        <v>481882.07647938479</v>
      </c>
      <c r="F501" s="4">
        <v>6967.1010467848755</v>
      </c>
      <c r="G501" s="4">
        <f t="shared" si="30"/>
        <v>300000</v>
      </c>
      <c r="H501" s="4">
        <f t="shared" si="31"/>
        <v>-80000</v>
      </c>
    </row>
    <row r="502" spans="2:8" x14ac:dyDescent="0.35">
      <c r="B502" s="5">
        <v>16859.462263863032</v>
      </c>
      <c r="C502" s="6">
        <f t="shared" si="28"/>
        <v>300000</v>
      </c>
      <c r="D502" s="5">
        <f t="shared" si="29"/>
        <v>550000</v>
      </c>
      <c r="F502" s="4">
        <v>5391.1252174443798</v>
      </c>
      <c r="G502" s="4">
        <f t="shared" si="30"/>
        <v>269556.26087221899</v>
      </c>
      <c r="H502" s="4">
        <f t="shared" si="31"/>
        <v>-122621.23477889341</v>
      </c>
    </row>
    <row r="503" spans="2:8" x14ac:dyDescent="0.35">
      <c r="B503" s="5">
        <v>14930.692464980009</v>
      </c>
      <c r="C503" s="6">
        <f t="shared" si="28"/>
        <v>300000</v>
      </c>
      <c r="D503" s="5">
        <f t="shared" si="29"/>
        <v>545148.47254860064</v>
      </c>
      <c r="F503" s="4">
        <v>7213.9957884456926</v>
      </c>
      <c r="G503" s="4">
        <f t="shared" si="30"/>
        <v>300000</v>
      </c>
      <c r="H503" s="4">
        <f t="shared" si="31"/>
        <v>-80000</v>
      </c>
    </row>
    <row r="504" spans="2:8" x14ac:dyDescent="0.35">
      <c r="B504" s="5">
        <v>13693.624683370464</v>
      </c>
      <c r="C504" s="6">
        <f t="shared" si="28"/>
        <v>300000</v>
      </c>
      <c r="D504" s="5">
        <f t="shared" si="29"/>
        <v>458553.72783593251</v>
      </c>
      <c r="F504" s="4">
        <v>7402.1423993652152</v>
      </c>
      <c r="G504" s="4">
        <f t="shared" si="30"/>
        <v>300000</v>
      </c>
      <c r="H504" s="4">
        <f t="shared" si="31"/>
        <v>-80000</v>
      </c>
    </row>
    <row r="505" spans="2:8" x14ac:dyDescent="0.35">
      <c r="B505" s="5">
        <v>12925.473799859616</v>
      </c>
      <c r="C505" s="6">
        <f t="shared" si="28"/>
        <v>300000</v>
      </c>
      <c r="D505" s="5">
        <f t="shared" si="29"/>
        <v>404783.16599017312</v>
      </c>
      <c r="F505" s="4">
        <v>6545.4878383739742</v>
      </c>
      <c r="G505" s="4">
        <f t="shared" si="30"/>
        <v>300000</v>
      </c>
      <c r="H505" s="4">
        <f t="shared" si="31"/>
        <v>-80000</v>
      </c>
    </row>
    <row r="506" spans="2:8" x14ac:dyDescent="0.35">
      <c r="B506" s="5">
        <v>12815.454573198645</v>
      </c>
      <c r="C506" s="6">
        <f t="shared" si="28"/>
        <v>300000</v>
      </c>
      <c r="D506" s="5">
        <f t="shared" si="29"/>
        <v>397081.8201239052</v>
      </c>
      <c r="F506" s="4">
        <v>7459.9749748222293</v>
      </c>
      <c r="G506" s="4">
        <f t="shared" si="30"/>
        <v>300000</v>
      </c>
      <c r="H506" s="4">
        <f t="shared" si="31"/>
        <v>-80000</v>
      </c>
    </row>
    <row r="507" spans="2:8" x14ac:dyDescent="0.35">
      <c r="B507" s="5">
        <v>15444.776757103184</v>
      </c>
      <c r="C507" s="6">
        <f t="shared" si="28"/>
        <v>300000</v>
      </c>
      <c r="D507" s="5">
        <f t="shared" si="29"/>
        <v>550000</v>
      </c>
      <c r="F507" s="4">
        <v>4778.6187322611167</v>
      </c>
      <c r="G507" s="4">
        <f t="shared" si="30"/>
        <v>238930.93661305585</v>
      </c>
      <c r="H507" s="4">
        <f t="shared" si="31"/>
        <v>-165496.68874172185</v>
      </c>
    </row>
    <row r="508" spans="2:8" x14ac:dyDescent="0.35">
      <c r="B508" s="5">
        <v>12991.393780327769</v>
      </c>
      <c r="C508" s="6">
        <f t="shared" si="28"/>
        <v>300000</v>
      </c>
      <c r="D508" s="5">
        <f t="shared" si="29"/>
        <v>409397.56462294387</v>
      </c>
      <c r="F508" s="4">
        <v>4850.6424146244699</v>
      </c>
      <c r="G508" s="4">
        <f t="shared" si="30"/>
        <v>242532.12073122349</v>
      </c>
      <c r="H508" s="4">
        <f t="shared" si="31"/>
        <v>-160455.03097628709</v>
      </c>
    </row>
    <row r="509" spans="2:8" x14ac:dyDescent="0.35">
      <c r="B509" s="5">
        <v>14553.636280404065</v>
      </c>
      <c r="C509" s="6">
        <f t="shared" si="28"/>
        <v>300000</v>
      </c>
      <c r="D509" s="5">
        <f t="shared" si="29"/>
        <v>518754.53962828463</v>
      </c>
      <c r="F509" s="4">
        <v>4406.5981017487102</v>
      </c>
      <c r="G509" s="4">
        <f t="shared" si="30"/>
        <v>220329.9050874355</v>
      </c>
      <c r="H509" s="4">
        <f t="shared" si="31"/>
        <v>-191538.13287759031</v>
      </c>
    </row>
    <row r="510" spans="2:8" x14ac:dyDescent="0.35">
      <c r="B510" s="5">
        <v>13243.476668599506</v>
      </c>
      <c r="C510" s="6">
        <f t="shared" si="28"/>
        <v>300000</v>
      </c>
      <c r="D510" s="5">
        <f t="shared" si="29"/>
        <v>427043.3668019654</v>
      </c>
      <c r="F510" s="4">
        <v>6352.0004882961512</v>
      </c>
      <c r="G510" s="4">
        <f t="shared" si="30"/>
        <v>300000</v>
      </c>
      <c r="H510" s="4">
        <f t="shared" si="31"/>
        <v>-80000</v>
      </c>
    </row>
    <row r="511" spans="2:8" x14ac:dyDescent="0.35">
      <c r="B511" s="5">
        <v>16591.967528305919</v>
      </c>
      <c r="C511" s="6">
        <f t="shared" si="28"/>
        <v>300000</v>
      </c>
      <c r="D511" s="5">
        <f t="shared" si="29"/>
        <v>550000</v>
      </c>
      <c r="F511" s="4">
        <v>6388.6226996673486</v>
      </c>
      <c r="G511" s="4">
        <f t="shared" si="30"/>
        <v>300000</v>
      </c>
      <c r="H511" s="4">
        <f t="shared" si="31"/>
        <v>-80000</v>
      </c>
    </row>
    <row r="512" spans="2:8" x14ac:dyDescent="0.35">
      <c r="B512" s="5">
        <v>12148.167363505967</v>
      </c>
      <c r="C512" s="6">
        <f t="shared" si="28"/>
        <v>300000</v>
      </c>
      <c r="D512" s="5">
        <f t="shared" si="29"/>
        <v>350371.71544541768</v>
      </c>
      <c r="F512" s="4">
        <v>3023.0414746543779</v>
      </c>
      <c r="G512" s="4">
        <f t="shared" si="30"/>
        <v>151152.07373271888</v>
      </c>
      <c r="H512" s="4">
        <f t="shared" si="31"/>
        <v>-288387.09677419357</v>
      </c>
    </row>
    <row r="513" spans="2:8" x14ac:dyDescent="0.35">
      <c r="B513" s="5">
        <v>14610.09552293466</v>
      </c>
      <c r="C513" s="6">
        <f t="shared" si="28"/>
        <v>300000</v>
      </c>
      <c r="D513" s="5">
        <f t="shared" si="29"/>
        <v>522706.68660542625</v>
      </c>
      <c r="F513" s="4">
        <v>7298.0742820520645</v>
      </c>
      <c r="G513" s="4">
        <f t="shared" si="30"/>
        <v>300000</v>
      </c>
      <c r="H513" s="4">
        <f t="shared" si="31"/>
        <v>-80000</v>
      </c>
    </row>
    <row r="514" spans="2:8" x14ac:dyDescent="0.35">
      <c r="B514" s="5">
        <v>14526.474806970427</v>
      </c>
      <c r="C514" s="6">
        <f t="shared" si="28"/>
        <v>300000</v>
      </c>
      <c r="D514" s="5">
        <f t="shared" si="29"/>
        <v>516853.23648792994</v>
      </c>
      <c r="F514" s="4">
        <v>6202.3071993163849</v>
      </c>
      <c r="G514" s="4">
        <f t="shared" si="30"/>
        <v>300000</v>
      </c>
      <c r="H514" s="4">
        <f t="shared" si="31"/>
        <v>-80000</v>
      </c>
    </row>
    <row r="515" spans="2:8" x14ac:dyDescent="0.35">
      <c r="B515" s="5">
        <v>16286.629840998565</v>
      </c>
      <c r="C515" s="6">
        <f t="shared" si="28"/>
        <v>300000</v>
      </c>
      <c r="D515" s="5">
        <f t="shared" si="29"/>
        <v>550000</v>
      </c>
      <c r="F515" s="4">
        <v>4006.9582201605272</v>
      </c>
      <c r="G515" s="4">
        <f t="shared" si="30"/>
        <v>200347.91100802636</v>
      </c>
      <c r="H515" s="4">
        <f t="shared" si="31"/>
        <v>-219512.9245887631</v>
      </c>
    </row>
    <row r="516" spans="2:8" x14ac:dyDescent="0.35">
      <c r="B516" s="5">
        <v>13732.230597857601</v>
      </c>
      <c r="C516" s="6">
        <f t="shared" si="28"/>
        <v>300000</v>
      </c>
      <c r="D516" s="5">
        <f t="shared" si="29"/>
        <v>461256.14185003203</v>
      </c>
      <c r="F516" s="4">
        <v>5426.6792809839171</v>
      </c>
      <c r="G516" s="4">
        <f t="shared" si="30"/>
        <v>271333.96404919587</v>
      </c>
      <c r="H516" s="4">
        <f t="shared" si="31"/>
        <v>-120132.45033112582</v>
      </c>
    </row>
    <row r="517" spans="2:8" x14ac:dyDescent="0.35">
      <c r="B517" s="5">
        <v>13957.30460524308</v>
      </c>
      <c r="C517" s="6">
        <f t="shared" si="28"/>
        <v>300000</v>
      </c>
      <c r="D517" s="5">
        <f t="shared" si="29"/>
        <v>477011.32236701564</v>
      </c>
      <c r="F517" s="4">
        <v>4008.0263679921873</v>
      </c>
      <c r="G517" s="4">
        <f t="shared" si="30"/>
        <v>200401.31839960936</v>
      </c>
      <c r="H517" s="4">
        <f t="shared" si="31"/>
        <v>-219438.15424054686</v>
      </c>
    </row>
    <row r="518" spans="2:8" x14ac:dyDescent="0.35">
      <c r="B518" s="5">
        <v>15876.308481093783</v>
      </c>
      <c r="C518" s="6">
        <f t="shared" si="28"/>
        <v>300000</v>
      </c>
      <c r="D518" s="5">
        <f t="shared" si="29"/>
        <v>550000</v>
      </c>
      <c r="F518" s="4">
        <v>5219.1534165471357</v>
      </c>
      <c r="G518" s="4">
        <f t="shared" si="30"/>
        <v>260957.67082735678</v>
      </c>
      <c r="H518" s="4">
        <f t="shared" si="31"/>
        <v>-134659.26084170048</v>
      </c>
    </row>
    <row r="519" spans="2:8" x14ac:dyDescent="0.35">
      <c r="B519" s="5">
        <v>13994.994964445936</v>
      </c>
      <c r="C519" s="6">
        <f t="shared" si="28"/>
        <v>300000</v>
      </c>
      <c r="D519" s="5">
        <f t="shared" si="29"/>
        <v>479649.64751121553</v>
      </c>
      <c r="F519" s="4">
        <v>6791.0092471083717</v>
      </c>
      <c r="G519" s="4">
        <f t="shared" si="30"/>
        <v>300000</v>
      </c>
      <c r="H519" s="4">
        <f t="shared" si="31"/>
        <v>-80000</v>
      </c>
    </row>
    <row r="520" spans="2:8" x14ac:dyDescent="0.35">
      <c r="B520" s="5">
        <v>15538.621173741874</v>
      </c>
      <c r="C520" s="6">
        <f t="shared" si="28"/>
        <v>300000</v>
      </c>
      <c r="D520" s="5">
        <f t="shared" si="29"/>
        <v>550000</v>
      </c>
      <c r="F520" s="4">
        <v>5745.2925199133279</v>
      </c>
      <c r="G520" s="4">
        <f t="shared" si="30"/>
        <v>287264.62599566637</v>
      </c>
      <c r="H520" s="4">
        <f t="shared" si="31"/>
        <v>-97829.523606067058</v>
      </c>
    </row>
    <row r="521" spans="2:8" x14ac:dyDescent="0.35">
      <c r="B521" s="5">
        <v>13128.727072969756</v>
      </c>
      <c r="C521" s="6">
        <f t="shared" si="28"/>
        <v>300000</v>
      </c>
      <c r="D521" s="5">
        <f t="shared" si="29"/>
        <v>419010.89510788291</v>
      </c>
      <c r="F521" s="4">
        <v>7519.3334757530438</v>
      </c>
      <c r="G521" s="4">
        <f t="shared" si="30"/>
        <v>300000</v>
      </c>
      <c r="H521" s="4">
        <f t="shared" si="31"/>
        <v>-80000</v>
      </c>
    </row>
    <row r="522" spans="2:8" x14ac:dyDescent="0.35">
      <c r="B522" s="5">
        <v>16436.628315073092</v>
      </c>
      <c r="C522" s="6">
        <f t="shared" si="28"/>
        <v>300000</v>
      </c>
      <c r="D522" s="5">
        <f t="shared" si="29"/>
        <v>550000</v>
      </c>
      <c r="F522" s="4">
        <v>4847.5905636768703</v>
      </c>
      <c r="G522" s="4">
        <f t="shared" si="30"/>
        <v>242379.5281838435</v>
      </c>
      <c r="H522" s="4">
        <f t="shared" si="31"/>
        <v>-160668.66054261907</v>
      </c>
    </row>
    <row r="523" spans="2:8" x14ac:dyDescent="0.35">
      <c r="B523" s="5">
        <v>12552.385021515549</v>
      </c>
      <c r="C523" s="6">
        <f t="shared" si="28"/>
        <v>300000</v>
      </c>
      <c r="D523" s="5">
        <f t="shared" si="29"/>
        <v>378666.95150608837</v>
      </c>
      <c r="F523" s="4">
        <v>6725.8522293771175</v>
      </c>
      <c r="G523" s="4">
        <f t="shared" si="30"/>
        <v>300000</v>
      </c>
      <c r="H523" s="4">
        <f t="shared" si="31"/>
        <v>-80000</v>
      </c>
    </row>
    <row r="524" spans="2:8" x14ac:dyDescent="0.35">
      <c r="B524" s="5">
        <v>15762.627033295694</v>
      </c>
      <c r="C524" s="6">
        <f t="shared" ref="C524:C587" si="32">50*MIN(B524,6000)</f>
        <v>300000</v>
      </c>
      <c r="D524" s="5">
        <f t="shared" ref="D524:D587" si="33">70*MIN(B524,15000)-500000</f>
        <v>550000</v>
      </c>
      <c r="F524" s="4">
        <v>6559.9841303750727</v>
      </c>
      <c r="G524" s="4">
        <f t="shared" ref="G524:G587" si="34">50*MIN(F524,6000)</f>
        <v>300000</v>
      </c>
      <c r="H524" s="4">
        <f t="shared" ref="H524:H587" si="35">70*MIN(F524,6000)-500000</f>
        <v>-80000</v>
      </c>
    </row>
    <row r="525" spans="2:8" x14ac:dyDescent="0.35">
      <c r="B525" s="5">
        <v>14932.82876064333</v>
      </c>
      <c r="C525" s="6">
        <f t="shared" si="32"/>
        <v>300000</v>
      </c>
      <c r="D525" s="5">
        <f t="shared" si="33"/>
        <v>545298.0132450331</v>
      </c>
      <c r="F525" s="4">
        <v>6977.4773400067143</v>
      </c>
      <c r="G525" s="4">
        <f t="shared" si="34"/>
        <v>300000</v>
      </c>
      <c r="H525" s="4">
        <f t="shared" si="35"/>
        <v>-80000</v>
      </c>
    </row>
    <row r="526" spans="2:8" x14ac:dyDescent="0.35">
      <c r="B526" s="5">
        <v>13098.05597094638</v>
      </c>
      <c r="C526" s="6">
        <f t="shared" si="32"/>
        <v>300000</v>
      </c>
      <c r="D526" s="5">
        <f t="shared" si="33"/>
        <v>416863.9179662466</v>
      </c>
      <c r="F526" s="4">
        <v>4489.1506698812827</v>
      </c>
      <c r="G526" s="4">
        <f t="shared" si="34"/>
        <v>224457.53349406415</v>
      </c>
      <c r="H526" s="4">
        <f t="shared" si="35"/>
        <v>-185759.45310831023</v>
      </c>
    </row>
    <row r="527" spans="2:8" x14ac:dyDescent="0.35">
      <c r="B527" s="5">
        <v>12841.700491348003</v>
      </c>
      <c r="C527" s="6">
        <f t="shared" si="32"/>
        <v>300000</v>
      </c>
      <c r="D527" s="5">
        <f t="shared" si="33"/>
        <v>398919.03439436026</v>
      </c>
      <c r="F527" s="4">
        <v>7591.9675283059178</v>
      </c>
      <c r="G527" s="4">
        <f t="shared" si="34"/>
        <v>300000</v>
      </c>
      <c r="H527" s="4">
        <f t="shared" si="35"/>
        <v>-80000</v>
      </c>
    </row>
    <row r="528" spans="2:8" x14ac:dyDescent="0.35">
      <c r="B528" s="5">
        <v>14590.868861964782</v>
      </c>
      <c r="C528" s="6">
        <f t="shared" si="32"/>
        <v>300000</v>
      </c>
      <c r="D528" s="5">
        <f t="shared" si="33"/>
        <v>521360.82033753477</v>
      </c>
      <c r="F528" s="4">
        <v>3075.533310953093</v>
      </c>
      <c r="G528" s="4">
        <f t="shared" si="34"/>
        <v>153776.66554765464</v>
      </c>
      <c r="H528" s="4">
        <f t="shared" si="35"/>
        <v>-284712.6682332835</v>
      </c>
    </row>
    <row r="529" spans="2:8" x14ac:dyDescent="0.35">
      <c r="B529" s="5">
        <v>12806.756797997985</v>
      </c>
      <c r="C529" s="6">
        <f t="shared" si="32"/>
        <v>300000</v>
      </c>
      <c r="D529" s="5">
        <f t="shared" si="33"/>
        <v>396472.97585985891</v>
      </c>
      <c r="F529" s="4">
        <v>4629.6884060182501</v>
      </c>
      <c r="G529" s="4">
        <f t="shared" si="34"/>
        <v>231484.42030091252</v>
      </c>
      <c r="H529" s="4">
        <f t="shared" si="35"/>
        <v>-175921.8115787225</v>
      </c>
    </row>
    <row r="530" spans="2:8" x14ac:dyDescent="0.35">
      <c r="B530" s="5">
        <v>16058.656575212866</v>
      </c>
      <c r="C530" s="6">
        <f t="shared" si="32"/>
        <v>300000</v>
      </c>
      <c r="D530" s="5">
        <f t="shared" si="33"/>
        <v>550000</v>
      </c>
      <c r="F530" s="4">
        <v>6310.0375377666551</v>
      </c>
      <c r="G530" s="4">
        <f t="shared" si="34"/>
        <v>300000</v>
      </c>
      <c r="H530" s="4">
        <f t="shared" si="35"/>
        <v>-80000</v>
      </c>
    </row>
    <row r="531" spans="2:8" x14ac:dyDescent="0.35">
      <c r="B531" s="5">
        <v>15238.929410687582</v>
      </c>
      <c r="C531" s="6">
        <f t="shared" si="32"/>
        <v>300000</v>
      </c>
      <c r="D531" s="5">
        <f t="shared" si="33"/>
        <v>550000</v>
      </c>
      <c r="F531" s="4">
        <v>3664.9983214819786</v>
      </c>
      <c r="G531" s="4">
        <f t="shared" si="34"/>
        <v>183249.91607409893</v>
      </c>
      <c r="H531" s="4">
        <f t="shared" si="35"/>
        <v>-243450.11749626149</v>
      </c>
    </row>
    <row r="532" spans="2:8" x14ac:dyDescent="0.35">
      <c r="B532" s="5">
        <v>15487.65526291696</v>
      </c>
      <c r="C532" s="6">
        <f t="shared" si="32"/>
        <v>300000</v>
      </c>
      <c r="D532" s="5">
        <f t="shared" si="33"/>
        <v>550000</v>
      </c>
      <c r="F532" s="4">
        <v>7642.6282540360735</v>
      </c>
      <c r="G532" s="4">
        <f t="shared" si="34"/>
        <v>300000</v>
      </c>
      <c r="H532" s="4">
        <f t="shared" si="35"/>
        <v>-80000</v>
      </c>
    </row>
    <row r="533" spans="2:8" x14ac:dyDescent="0.35">
      <c r="B533" s="5">
        <v>15080.843531601917</v>
      </c>
      <c r="C533" s="6">
        <f t="shared" si="32"/>
        <v>300000</v>
      </c>
      <c r="D533" s="5">
        <f t="shared" si="33"/>
        <v>550000</v>
      </c>
      <c r="F533" s="4">
        <v>5392.1933652760399</v>
      </c>
      <c r="G533" s="4">
        <f t="shared" si="34"/>
        <v>269609.66826380201</v>
      </c>
      <c r="H533" s="4">
        <f t="shared" si="35"/>
        <v>-122546.46443067718</v>
      </c>
    </row>
    <row r="534" spans="2:8" x14ac:dyDescent="0.35">
      <c r="B534" s="5">
        <v>16657.887508774071</v>
      </c>
      <c r="C534" s="6">
        <f t="shared" si="32"/>
        <v>300000</v>
      </c>
      <c r="D534" s="5">
        <f t="shared" si="33"/>
        <v>550000</v>
      </c>
      <c r="F534" s="4">
        <v>7166.9972838526564</v>
      </c>
      <c r="G534" s="4">
        <f t="shared" si="34"/>
        <v>300000</v>
      </c>
      <c r="H534" s="4">
        <f t="shared" si="35"/>
        <v>-80000</v>
      </c>
    </row>
    <row r="535" spans="2:8" x14ac:dyDescent="0.35">
      <c r="B535" s="5">
        <v>14232.886745811335</v>
      </c>
      <c r="C535" s="6">
        <f t="shared" si="32"/>
        <v>300000</v>
      </c>
      <c r="D535" s="5">
        <f t="shared" si="33"/>
        <v>496302.07220679347</v>
      </c>
      <c r="F535" s="4">
        <v>7062.0136112552264</v>
      </c>
      <c r="G535" s="4">
        <f t="shared" si="34"/>
        <v>300000</v>
      </c>
      <c r="H535" s="4">
        <f t="shared" si="35"/>
        <v>-80000</v>
      </c>
    </row>
    <row r="536" spans="2:8" x14ac:dyDescent="0.35">
      <c r="B536" s="5">
        <v>16960.783715323345</v>
      </c>
      <c r="C536" s="6">
        <f t="shared" si="32"/>
        <v>300000</v>
      </c>
      <c r="D536" s="5">
        <f t="shared" si="33"/>
        <v>550000</v>
      </c>
      <c r="F536" s="4">
        <v>3346.842860194708</v>
      </c>
      <c r="G536" s="4">
        <f t="shared" si="34"/>
        <v>167342.14300973539</v>
      </c>
      <c r="H536" s="4">
        <f t="shared" si="35"/>
        <v>-265720.99978637043</v>
      </c>
    </row>
    <row r="537" spans="2:8" x14ac:dyDescent="0.35">
      <c r="B537" s="5">
        <v>12805.993835261086</v>
      </c>
      <c r="C537" s="6">
        <f t="shared" si="32"/>
        <v>300000</v>
      </c>
      <c r="D537" s="5">
        <f t="shared" si="33"/>
        <v>396419.56846827606</v>
      </c>
      <c r="F537" s="4">
        <v>4197.3937192907497</v>
      </c>
      <c r="G537" s="4">
        <f t="shared" si="34"/>
        <v>209869.68596453749</v>
      </c>
      <c r="H537" s="4">
        <f t="shared" si="35"/>
        <v>-206182.43964964751</v>
      </c>
    </row>
    <row r="538" spans="2:8" x14ac:dyDescent="0.35">
      <c r="B538" s="5">
        <v>14519.302957243568</v>
      </c>
      <c r="C538" s="6">
        <f t="shared" si="32"/>
        <v>300000</v>
      </c>
      <c r="D538" s="5">
        <f t="shared" si="33"/>
        <v>516351.20700704982</v>
      </c>
      <c r="F538" s="4">
        <v>7185.9187597277751</v>
      </c>
      <c r="G538" s="4">
        <f t="shared" si="34"/>
        <v>300000</v>
      </c>
      <c r="H538" s="4">
        <f t="shared" si="35"/>
        <v>-80000</v>
      </c>
    </row>
    <row r="539" spans="2:8" x14ac:dyDescent="0.35">
      <c r="B539" s="5">
        <v>15125.705740531632</v>
      </c>
      <c r="C539" s="6">
        <f t="shared" si="32"/>
        <v>300000</v>
      </c>
      <c r="D539" s="5">
        <f t="shared" si="33"/>
        <v>550000</v>
      </c>
      <c r="F539" s="4">
        <v>5132.7860347300639</v>
      </c>
      <c r="G539" s="4">
        <f t="shared" si="34"/>
        <v>256639.3017365032</v>
      </c>
      <c r="H539" s="4">
        <f t="shared" si="35"/>
        <v>-140704.97756889556</v>
      </c>
    </row>
    <row r="540" spans="2:8" x14ac:dyDescent="0.35">
      <c r="B540" s="5">
        <v>13087.37449262978</v>
      </c>
      <c r="C540" s="6">
        <f t="shared" si="32"/>
        <v>300000</v>
      </c>
      <c r="D540" s="5">
        <f t="shared" si="33"/>
        <v>416116.21448408463</v>
      </c>
      <c r="F540" s="4">
        <v>7456.9231238746297</v>
      </c>
      <c r="G540" s="4">
        <f t="shared" si="34"/>
        <v>300000</v>
      </c>
      <c r="H540" s="4">
        <f t="shared" si="35"/>
        <v>-80000</v>
      </c>
    </row>
    <row r="541" spans="2:8" x14ac:dyDescent="0.35">
      <c r="B541" s="5">
        <v>16302.041688283945</v>
      </c>
      <c r="C541" s="6">
        <f t="shared" si="32"/>
        <v>300000</v>
      </c>
      <c r="D541" s="5">
        <f t="shared" si="33"/>
        <v>550000</v>
      </c>
      <c r="F541" s="4">
        <v>3784.478286080508</v>
      </c>
      <c r="G541" s="4">
        <f t="shared" si="34"/>
        <v>189223.91430402541</v>
      </c>
      <c r="H541" s="4">
        <f t="shared" si="35"/>
        <v>-235086.51997436443</v>
      </c>
    </row>
    <row r="542" spans="2:8" x14ac:dyDescent="0.35">
      <c r="B542" s="5">
        <v>13529.740287484359</v>
      </c>
      <c r="C542" s="6">
        <f t="shared" si="32"/>
        <v>300000</v>
      </c>
      <c r="D542" s="5">
        <f t="shared" si="33"/>
        <v>447081.8201239052</v>
      </c>
      <c r="F542" s="4">
        <v>7019.5928830835901</v>
      </c>
      <c r="G542" s="4">
        <f t="shared" si="34"/>
        <v>300000</v>
      </c>
      <c r="H542" s="4">
        <f t="shared" si="35"/>
        <v>-80000</v>
      </c>
    </row>
    <row r="543" spans="2:8" x14ac:dyDescent="0.35">
      <c r="B543" s="5">
        <v>14218.085268715477</v>
      </c>
      <c r="C543" s="6">
        <f t="shared" si="32"/>
        <v>300000</v>
      </c>
      <c r="D543" s="5">
        <f t="shared" si="33"/>
        <v>495265.96881008334</v>
      </c>
      <c r="F543" s="4">
        <v>6809.9307229834894</v>
      </c>
      <c r="G543" s="4">
        <f t="shared" si="34"/>
        <v>300000</v>
      </c>
      <c r="H543" s="4">
        <f t="shared" si="35"/>
        <v>-80000</v>
      </c>
    </row>
    <row r="544" spans="2:8" x14ac:dyDescent="0.35">
      <c r="B544" s="5">
        <v>13580.706198309275</v>
      </c>
      <c r="C544" s="6">
        <f t="shared" si="32"/>
        <v>300000</v>
      </c>
      <c r="D544" s="5">
        <f t="shared" si="33"/>
        <v>450649.43388164928</v>
      </c>
      <c r="F544" s="4">
        <v>3002.5940733054599</v>
      </c>
      <c r="G544" s="4">
        <f t="shared" si="34"/>
        <v>150129.703665273</v>
      </c>
      <c r="H544" s="4">
        <f t="shared" si="35"/>
        <v>-289818.41486861778</v>
      </c>
    </row>
    <row r="545" spans="2:8" x14ac:dyDescent="0.35">
      <c r="B545" s="5">
        <v>13082.94930875576</v>
      </c>
      <c r="C545" s="6">
        <f t="shared" si="32"/>
        <v>300000</v>
      </c>
      <c r="D545" s="5">
        <f t="shared" si="33"/>
        <v>415806.45161290327</v>
      </c>
      <c r="F545" s="4">
        <v>3082.5525681325726</v>
      </c>
      <c r="G545" s="4">
        <f t="shared" si="34"/>
        <v>154127.62840662862</v>
      </c>
      <c r="H545" s="4">
        <f t="shared" si="35"/>
        <v>-284221.32023071992</v>
      </c>
    </row>
    <row r="546" spans="2:8" x14ac:dyDescent="0.35">
      <c r="B546" s="5">
        <v>13688.283944212164</v>
      </c>
      <c r="C546" s="6">
        <f t="shared" si="32"/>
        <v>300000</v>
      </c>
      <c r="D546" s="5">
        <f t="shared" si="33"/>
        <v>458179.87609485153</v>
      </c>
      <c r="F546" s="4">
        <v>3320.2917569505908</v>
      </c>
      <c r="G546" s="4">
        <f t="shared" si="34"/>
        <v>166014.58784752953</v>
      </c>
      <c r="H546" s="4">
        <f t="shared" si="35"/>
        <v>-267579.57701345865</v>
      </c>
    </row>
    <row r="547" spans="2:8" x14ac:dyDescent="0.35">
      <c r="B547" s="5">
        <v>16389.019440290536</v>
      </c>
      <c r="C547" s="6">
        <f t="shared" si="32"/>
        <v>300000</v>
      </c>
      <c r="D547" s="5">
        <f t="shared" si="33"/>
        <v>550000</v>
      </c>
      <c r="F547" s="4">
        <v>4316.5684987945187</v>
      </c>
      <c r="G547" s="4">
        <f t="shared" si="34"/>
        <v>215828.42493972593</v>
      </c>
      <c r="H547" s="4">
        <f t="shared" si="35"/>
        <v>-197840.20508438366</v>
      </c>
    </row>
    <row r="548" spans="2:8" x14ac:dyDescent="0.35">
      <c r="B548" s="5">
        <v>16677.877132480848</v>
      </c>
      <c r="C548" s="6">
        <f t="shared" si="32"/>
        <v>300000</v>
      </c>
      <c r="D548" s="5">
        <f t="shared" si="33"/>
        <v>550000</v>
      </c>
      <c r="F548" s="4">
        <v>4272.9270302438426</v>
      </c>
      <c r="G548" s="4">
        <f t="shared" si="34"/>
        <v>213646.35151219214</v>
      </c>
      <c r="H548" s="4">
        <f t="shared" si="35"/>
        <v>-200895.10788293101</v>
      </c>
    </row>
    <row r="549" spans="2:8" x14ac:dyDescent="0.35">
      <c r="B549" s="5">
        <v>12316.019165623951</v>
      </c>
      <c r="C549" s="6">
        <f t="shared" si="32"/>
        <v>300000</v>
      </c>
      <c r="D549" s="5">
        <f t="shared" si="33"/>
        <v>362121.3415936766</v>
      </c>
      <c r="F549" s="4">
        <v>3847.6516006958218</v>
      </c>
      <c r="G549" s="4">
        <f t="shared" si="34"/>
        <v>192382.58003479108</v>
      </c>
      <c r="H549" s="4">
        <f t="shared" si="35"/>
        <v>-230664.38795129245</v>
      </c>
    </row>
    <row r="550" spans="2:8" x14ac:dyDescent="0.35">
      <c r="B550" s="5">
        <v>13354.869228186895</v>
      </c>
      <c r="C550" s="6">
        <f t="shared" si="32"/>
        <v>300000</v>
      </c>
      <c r="D550" s="5">
        <f t="shared" si="33"/>
        <v>434840.8459730827</v>
      </c>
      <c r="F550" s="4">
        <v>4455.4277169103061</v>
      </c>
      <c r="G550" s="4">
        <f t="shared" si="34"/>
        <v>222771.38584551529</v>
      </c>
      <c r="H550" s="4">
        <f t="shared" si="35"/>
        <v>-188120.05981627858</v>
      </c>
    </row>
    <row r="551" spans="2:8" x14ac:dyDescent="0.35">
      <c r="B551" s="5">
        <v>16472.334971160009</v>
      </c>
      <c r="C551" s="6">
        <f t="shared" si="32"/>
        <v>300000</v>
      </c>
      <c r="D551" s="5">
        <f t="shared" si="33"/>
        <v>550000</v>
      </c>
      <c r="F551" s="4">
        <v>4145.3596606341744</v>
      </c>
      <c r="G551" s="4">
        <f t="shared" si="34"/>
        <v>207267.98303170872</v>
      </c>
      <c r="H551" s="4">
        <f t="shared" si="35"/>
        <v>-209824.82375560782</v>
      </c>
    </row>
    <row r="552" spans="2:8" x14ac:dyDescent="0.35">
      <c r="B552" s="5">
        <v>15632.923368022706</v>
      </c>
      <c r="C552" s="6">
        <f t="shared" si="32"/>
        <v>300000</v>
      </c>
      <c r="D552" s="5">
        <f t="shared" si="33"/>
        <v>550000</v>
      </c>
      <c r="F552" s="4">
        <v>4507.9195532090216</v>
      </c>
      <c r="G552" s="4">
        <f t="shared" si="34"/>
        <v>225395.97766045108</v>
      </c>
      <c r="H552" s="4">
        <f t="shared" si="35"/>
        <v>-184445.63127536851</v>
      </c>
    </row>
    <row r="553" spans="2:8" x14ac:dyDescent="0.35">
      <c r="B553" s="5">
        <v>13469.771416364025</v>
      </c>
      <c r="C553" s="6">
        <f t="shared" si="32"/>
        <v>300000</v>
      </c>
      <c r="D553" s="5">
        <f t="shared" si="33"/>
        <v>442883.99914548174</v>
      </c>
      <c r="F553" s="4">
        <v>5706.9917905209513</v>
      </c>
      <c r="G553" s="4">
        <f t="shared" si="34"/>
        <v>285349.58952604758</v>
      </c>
      <c r="H553" s="4">
        <f t="shared" si="35"/>
        <v>-100510.57466353342</v>
      </c>
    </row>
    <row r="554" spans="2:8" x14ac:dyDescent="0.35">
      <c r="B554" s="5">
        <v>13931.974242378003</v>
      </c>
      <c r="C554" s="6">
        <f t="shared" si="32"/>
        <v>300000</v>
      </c>
      <c r="D554" s="5">
        <f t="shared" si="33"/>
        <v>475238.19696646021</v>
      </c>
      <c r="F554" s="4">
        <v>5998.7487411114844</v>
      </c>
      <c r="G554" s="4">
        <f t="shared" si="34"/>
        <v>299937.43705557421</v>
      </c>
      <c r="H554" s="4">
        <f t="shared" si="35"/>
        <v>-80087.588122196088</v>
      </c>
    </row>
    <row r="555" spans="2:8" x14ac:dyDescent="0.35">
      <c r="B555" s="5">
        <v>13340.067751091037</v>
      </c>
      <c r="C555" s="6">
        <f t="shared" si="32"/>
        <v>300000</v>
      </c>
      <c r="D555" s="5">
        <f t="shared" si="33"/>
        <v>433804.74257637258</v>
      </c>
      <c r="F555" s="4">
        <v>3708.182012390515</v>
      </c>
      <c r="G555" s="4">
        <f t="shared" si="34"/>
        <v>185409.10061952574</v>
      </c>
      <c r="H555" s="4">
        <f t="shared" si="35"/>
        <v>-240427.25913266395</v>
      </c>
    </row>
    <row r="556" spans="2:8" x14ac:dyDescent="0.35">
      <c r="B556" s="5">
        <v>12094.302194280832</v>
      </c>
      <c r="C556" s="6">
        <f t="shared" si="32"/>
        <v>300000</v>
      </c>
      <c r="D556" s="5">
        <f t="shared" si="33"/>
        <v>346601.15359965828</v>
      </c>
      <c r="F556" s="4">
        <v>6571.733756523332</v>
      </c>
      <c r="G556" s="4">
        <f t="shared" si="34"/>
        <v>300000</v>
      </c>
      <c r="H556" s="4">
        <f t="shared" si="35"/>
        <v>-80000</v>
      </c>
    </row>
    <row r="557" spans="2:8" x14ac:dyDescent="0.35">
      <c r="B557" s="5">
        <v>14307.046723838008</v>
      </c>
      <c r="C557" s="6">
        <f t="shared" si="32"/>
        <v>300000</v>
      </c>
      <c r="D557" s="5">
        <f t="shared" si="33"/>
        <v>501493.27066866052</v>
      </c>
      <c r="F557" s="4">
        <v>7268.3187353129679</v>
      </c>
      <c r="G557" s="4">
        <f t="shared" si="34"/>
        <v>300000</v>
      </c>
      <c r="H557" s="4">
        <f t="shared" si="35"/>
        <v>-80000</v>
      </c>
    </row>
    <row r="558" spans="2:8" x14ac:dyDescent="0.35">
      <c r="B558" s="5">
        <v>16507.278664510024</v>
      </c>
      <c r="C558" s="6">
        <f t="shared" si="32"/>
        <v>300000</v>
      </c>
      <c r="D558" s="5">
        <f t="shared" si="33"/>
        <v>550000</v>
      </c>
      <c r="F558" s="4">
        <v>3028.0770287179175</v>
      </c>
      <c r="G558" s="4">
        <f t="shared" si="34"/>
        <v>151403.85143589586</v>
      </c>
      <c r="H558" s="4">
        <f t="shared" si="35"/>
        <v>-288034.6079897458</v>
      </c>
    </row>
    <row r="559" spans="2:8" x14ac:dyDescent="0.35">
      <c r="B559" s="5">
        <v>13096.224860377819</v>
      </c>
      <c r="C559" s="6">
        <f t="shared" si="32"/>
        <v>300000</v>
      </c>
      <c r="D559" s="5">
        <f t="shared" si="33"/>
        <v>416735.74022644735</v>
      </c>
      <c r="F559" s="4">
        <v>7568.01049836726</v>
      </c>
      <c r="G559" s="4">
        <f t="shared" si="34"/>
        <v>300000</v>
      </c>
      <c r="H559" s="4">
        <f t="shared" si="35"/>
        <v>-80000</v>
      </c>
    </row>
    <row r="560" spans="2:8" x14ac:dyDescent="0.35">
      <c r="B560" s="5">
        <v>12146.946623126927</v>
      </c>
      <c r="C560" s="6">
        <f t="shared" si="32"/>
        <v>300000</v>
      </c>
      <c r="D560" s="5">
        <f t="shared" si="33"/>
        <v>350286.26361888484</v>
      </c>
      <c r="F560" s="4">
        <v>4883.7549974059266</v>
      </c>
      <c r="G560" s="4">
        <f t="shared" si="34"/>
        <v>244187.74987029633</v>
      </c>
      <c r="H560" s="4">
        <f t="shared" si="35"/>
        <v>-158137.15018158517</v>
      </c>
    </row>
    <row r="561" spans="2:8" x14ac:dyDescent="0.35">
      <c r="B561" s="5">
        <v>15881.954405346843</v>
      </c>
      <c r="C561" s="6">
        <f t="shared" si="32"/>
        <v>300000</v>
      </c>
      <c r="D561" s="5">
        <f t="shared" si="33"/>
        <v>550000</v>
      </c>
      <c r="F561" s="4">
        <v>3448.7746818445389</v>
      </c>
      <c r="G561" s="4">
        <f t="shared" si="34"/>
        <v>172438.73409222695</v>
      </c>
      <c r="H561" s="4">
        <f t="shared" si="35"/>
        <v>-258585.77227088227</v>
      </c>
    </row>
    <row r="562" spans="2:8" x14ac:dyDescent="0.35">
      <c r="B562" s="5">
        <v>12492.110965300455</v>
      </c>
      <c r="C562" s="6">
        <f t="shared" si="32"/>
        <v>300000</v>
      </c>
      <c r="D562" s="5">
        <f t="shared" si="33"/>
        <v>374447.76757103181</v>
      </c>
      <c r="F562" s="4">
        <v>3762.5049592577898</v>
      </c>
      <c r="G562" s="4">
        <f t="shared" si="34"/>
        <v>188125.24796288949</v>
      </c>
      <c r="H562" s="4">
        <f t="shared" si="35"/>
        <v>-236624.65285195474</v>
      </c>
    </row>
    <row r="563" spans="2:8" x14ac:dyDescent="0.35">
      <c r="B563" s="5">
        <v>15288.521988586077</v>
      </c>
      <c r="C563" s="6">
        <f t="shared" si="32"/>
        <v>300000</v>
      </c>
      <c r="D563" s="5">
        <f t="shared" si="33"/>
        <v>550000</v>
      </c>
      <c r="F563" s="4">
        <v>4655.6291390728475</v>
      </c>
      <c r="G563" s="4">
        <f t="shared" si="34"/>
        <v>232781.45695364237</v>
      </c>
      <c r="H563" s="4">
        <f t="shared" si="35"/>
        <v>-174105.9602649007</v>
      </c>
    </row>
    <row r="564" spans="2:8" x14ac:dyDescent="0.35">
      <c r="B564" s="5">
        <v>13303.44553971984</v>
      </c>
      <c r="C564" s="6">
        <f t="shared" si="32"/>
        <v>300000</v>
      </c>
      <c r="D564" s="5">
        <f t="shared" si="33"/>
        <v>431241.18778038875</v>
      </c>
      <c r="F564" s="4">
        <v>4392.1018097476117</v>
      </c>
      <c r="G564" s="4">
        <f t="shared" si="34"/>
        <v>219605.09048738057</v>
      </c>
      <c r="H564" s="4">
        <f t="shared" si="35"/>
        <v>-192552.87331766717</v>
      </c>
    </row>
    <row r="565" spans="2:8" x14ac:dyDescent="0.35">
      <c r="B565" s="5">
        <v>14692.648091067233</v>
      </c>
      <c r="C565" s="6">
        <f t="shared" si="32"/>
        <v>300000</v>
      </c>
      <c r="D565" s="5">
        <f t="shared" si="33"/>
        <v>528485.36637470627</v>
      </c>
      <c r="F565" s="4">
        <v>6683.2789086581015</v>
      </c>
      <c r="G565" s="4">
        <f t="shared" si="34"/>
        <v>300000</v>
      </c>
      <c r="H565" s="4">
        <f t="shared" si="35"/>
        <v>-80000</v>
      </c>
    </row>
    <row r="566" spans="2:8" x14ac:dyDescent="0.35">
      <c r="B566" s="5">
        <v>12784.936063722647</v>
      </c>
      <c r="C566" s="6">
        <f t="shared" si="32"/>
        <v>300000</v>
      </c>
      <c r="D566" s="5">
        <f t="shared" si="33"/>
        <v>394945.52446058532</v>
      </c>
      <c r="F566" s="4">
        <v>6565.477462080752</v>
      </c>
      <c r="G566" s="4">
        <f t="shared" si="34"/>
        <v>300000</v>
      </c>
      <c r="H566" s="4">
        <f t="shared" si="35"/>
        <v>-80000</v>
      </c>
    </row>
    <row r="567" spans="2:8" x14ac:dyDescent="0.35">
      <c r="B567" s="5">
        <v>13542.710654011658</v>
      </c>
      <c r="C567" s="6">
        <f t="shared" si="32"/>
        <v>300000</v>
      </c>
      <c r="D567" s="5">
        <f t="shared" si="33"/>
        <v>447989.74578081607</v>
      </c>
      <c r="F567" s="4">
        <v>5380.1385540330211</v>
      </c>
      <c r="G567" s="4">
        <f t="shared" si="34"/>
        <v>269006.92770165106</v>
      </c>
      <c r="H567" s="4">
        <f t="shared" si="35"/>
        <v>-123390.30121768854</v>
      </c>
    </row>
    <row r="568" spans="2:8" x14ac:dyDescent="0.35">
      <c r="B568" s="5">
        <v>13222.266304513687</v>
      </c>
      <c r="C568" s="6">
        <f t="shared" si="32"/>
        <v>300000</v>
      </c>
      <c r="D568" s="5">
        <f t="shared" si="33"/>
        <v>425558.64131595811</v>
      </c>
      <c r="F568" s="4">
        <v>4867.7327799310278</v>
      </c>
      <c r="G568" s="4">
        <f t="shared" si="34"/>
        <v>243386.6389965514</v>
      </c>
      <c r="H568" s="4">
        <f t="shared" si="35"/>
        <v>-159258.70540482807</v>
      </c>
    </row>
    <row r="569" spans="2:8" x14ac:dyDescent="0.35">
      <c r="B569" s="5">
        <v>14650.227362895595</v>
      </c>
      <c r="C569" s="6">
        <f t="shared" si="32"/>
        <v>300000</v>
      </c>
      <c r="D569" s="5">
        <f t="shared" si="33"/>
        <v>525515.91540269169</v>
      </c>
      <c r="F569" s="4">
        <v>7161.9617297891173</v>
      </c>
      <c r="G569" s="4">
        <f t="shared" si="34"/>
        <v>300000</v>
      </c>
      <c r="H569" s="4">
        <f t="shared" si="35"/>
        <v>-80000</v>
      </c>
    </row>
    <row r="570" spans="2:8" x14ac:dyDescent="0.35">
      <c r="B570" s="5">
        <v>12490.279854731894</v>
      </c>
      <c r="C570" s="6">
        <f t="shared" si="32"/>
        <v>300000</v>
      </c>
      <c r="D570" s="5">
        <f t="shared" si="33"/>
        <v>374319.58983123256</v>
      </c>
      <c r="F570" s="4">
        <v>4851.4053773613696</v>
      </c>
      <c r="G570" s="4">
        <f t="shared" si="34"/>
        <v>242570.26886806847</v>
      </c>
      <c r="H570" s="4">
        <f t="shared" si="35"/>
        <v>-160401.62358470412</v>
      </c>
    </row>
    <row r="571" spans="2:8" x14ac:dyDescent="0.35">
      <c r="B571" s="5">
        <v>14529.984435560167</v>
      </c>
      <c r="C571" s="6">
        <f t="shared" si="32"/>
        <v>300000</v>
      </c>
      <c r="D571" s="5">
        <f t="shared" si="33"/>
        <v>517098.91048921167</v>
      </c>
      <c r="F571" s="4">
        <v>5037.5682851649526</v>
      </c>
      <c r="G571" s="4">
        <f t="shared" si="34"/>
        <v>251878.41425824762</v>
      </c>
      <c r="H571" s="4">
        <f t="shared" si="35"/>
        <v>-147370.22003845329</v>
      </c>
    </row>
    <row r="572" spans="2:8" x14ac:dyDescent="0.35">
      <c r="B572" s="5">
        <v>13437.116611224708</v>
      </c>
      <c r="C572" s="6">
        <f t="shared" si="32"/>
        <v>300000</v>
      </c>
      <c r="D572" s="5">
        <f t="shared" si="33"/>
        <v>440598.16278572963</v>
      </c>
      <c r="F572" s="4">
        <v>6304.0864284188356</v>
      </c>
      <c r="G572" s="4">
        <f t="shared" si="34"/>
        <v>300000</v>
      </c>
      <c r="H572" s="4">
        <f t="shared" si="35"/>
        <v>-80000</v>
      </c>
    </row>
    <row r="573" spans="2:8" x14ac:dyDescent="0.35">
      <c r="B573" s="5">
        <v>14017.883846552935</v>
      </c>
      <c r="C573" s="6">
        <f t="shared" si="32"/>
        <v>300000</v>
      </c>
      <c r="D573" s="5">
        <f t="shared" si="33"/>
        <v>481251.86925870541</v>
      </c>
      <c r="F573" s="4">
        <v>4761.6809595019377</v>
      </c>
      <c r="G573" s="4">
        <f t="shared" si="34"/>
        <v>238084.04797509688</v>
      </c>
      <c r="H573" s="4">
        <f t="shared" si="35"/>
        <v>-166682.33283486438</v>
      </c>
    </row>
    <row r="574" spans="2:8" x14ac:dyDescent="0.35">
      <c r="B574" s="5">
        <v>15727.378154850918</v>
      </c>
      <c r="C574" s="6">
        <f t="shared" si="32"/>
        <v>300000</v>
      </c>
      <c r="D574" s="5">
        <f t="shared" si="33"/>
        <v>550000</v>
      </c>
      <c r="F574" s="4">
        <v>6922.6966154972997</v>
      </c>
      <c r="G574" s="4">
        <f t="shared" si="34"/>
        <v>300000</v>
      </c>
      <c r="H574" s="4">
        <f t="shared" si="35"/>
        <v>-80000</v>
      </c>
    </row>
    <row r="575" spans="2:8" x14ac:dyDescent="0.35">
      <c r="B575" s="5">
        <v>16666.737876522111</v>
      </c>
      <c r="C575" s="6">
        <f t="shared" si="32"/>
        <v>300000</v>
      </c>
      <c r="D575" s="5">
        <f t="shared" si="33"/>
        <v>550000</v>
      </c>
      <c r="F575" s="4">
        <v>7425.1838740195935</v>
      </c>
      <c r="G575" s="4">
        <f t="shared" si="34"/>
        <v>300000</v>
      </c>
      <c r="H575" s="4">
        <f t="shared" si="35"/>
        <v>-80000</v>
      </c>
    </row>
    <row r="576" spans="2:8" x14ac:dyDescent="0.35">
      <c r="B576" s="5">
        <v>13875.820184942168</v>
      </c>
      <c r="C576" s="6">
        <f t="shared" si="32"/>
        <v>300000</v>
      </c>
      <c r="D576" s="5">
        <f t="shared" si="33"/>
        <v>471307.41294595168</v>
      </c>
      <c r="F576" s="4">
        <v>3699.0264595477156</v>
      </c>
      <c r="G576" s="4">
        <f t="shared" si="34"/>
        <v>184951.32297738577</v>
      </c>
      <c r="H576" s="4">
        <f t="shared" si="35"/>
        <v>-241068.14783165991</v>
      </c>
    </row>
    <row r="577" spans="2:8" x14ac:dyDescent="0.35">
      <c r="B577" s="5">
        <v>14977.233191930905</v>
      </c>
      <c r="C577" s="6">
        <f t="shared" si="32"/>
        <v>300000</v>
      </c>
      <c r="D577" s="5">
        <f t="shared" si="33"/>
        <v>548406.32343516336</v>
      </c>
      <c r="F577" s="4">
        <v>7820.0933866389969</v>
      </c>
      <c r="G577" s="4">
        <f t="shared" si="34"/>
        <v>300000</v>
      </c>
      <c r="H577" s="4">
        <f t="shared" si="35"/>
        <v>-80000</v>
      </c>
    </row>
    <row r="578" spans="2:8" x14ac:dyDescent="0.35">
      <c r="B578" s="5">
        <v>12556.352427747428</v>
      </c>
      <c r="C578" s="6">
        <f t="shared" si="32"/>
        <v>300000</v>
      </c>
      <c r="D578" s="5">
        <f t="shared" si="33"/>
        <v>378944.66994231998</v>
      </c>
      <c r="F578" s="4">
        <v>5269.0511795403909</v>
      </c>
      <c r="G578" s="4">
        <f t="shared" si="34"/>
        <v>263452.55897701957</v>
      </c>
      <c r="H578" s="4">
        <f t="shared" si="35"/>
        <v>-131166.41743217263</v>
      </c>
    </row>
    <row r="579" spans="2:8" x14ac:dyDescent="0.35">
      <c r="B579" s="5">
        <v>12460.066530350658</v>
      </c>
      <c r="C579" s="6">
        <f t="shared" si="32"/>
        <v>300000</v>
      </c>
      <c r="D579" s="5">
        <f t="shared" si="33"/>
        <v>372204.65712454601</v>
      </c>
      <c r="F579" s="4">
        <v>5065.4927213354895</v>
      </c>
      <c r="G579" s="4">
        <f t="shared" si="34"/>
        <v>253274.63606677449</v>
      </c>
      <c r="H579" s="4">
        <f t="shared" si="35"/>
        <v>-145415.50950651575</v>
      </c>
    </row>
    <row r="580" spans="2:8" x14ac:dyDescent="0.35">
      <c r="B580" s="5">
        <v>16453.108310190131</v>
      </c>
      <c r="C580" s="6">
        <f t="shared" si="32"/>
        <v>300000</v>
      </c>
      <c r="D580" s="5">
        <f t="shared" si="33"/>
        <v>550000</v>
      </c>
      <c r="F580" s="4">
        <v>7005.8595538193913</v>
      </c>
      <c r="G580" s="4">
        <f t="shared" si="34"/>
        <v>300000</v>
      </c>
      <c r="H580" s="4">
        <f t="shared" si="35"/>
        <v>-80000</v>
      </c>
    </row>
    <row r="581" spans="2:8" x14ac:dyDescent="0.35">
      <c r="B581" s="5">
        <v>15976.409192175055</v>
      </c>
      <c r="C581" s="6">
        <f t="shared" si="32"/>
        <v>300000</v>
      </c>
      <c r="D581" s="5">
        <f t="shared" si="33"/>
        <v>550000</v>
      </c>
      <c r="F581" s="4">
        <v>6412.2745445112469</v>
      </c>
      <c r="G581" s="4">
        <f t="shared" si="34"/>
        <v>300000</v>
      </c>
      <c r="H581" s="4">
        <f t="shared" si="35"/>
        <v>-80000</v>
      </c>
    </row>
    <row r="582" spans="2:8" x14ac:dyDescent="0.35">
      <c r="B582" s="5">
        <v>12556.047242652669</v>
      </c>
      <c r="C582" s="6">
        <f t="shared" si="32"/>
        <v>300000</v>
      </c>
      <c r="D582" s="5">
        <f t="shared" si="33"/>
        <v>378923.30698568677</v>
      </c>
      <c r="F582" s="4">
        <v>7362.4683370464181</v>
      </c>
      <c r="G582" s="4">
        <f t="shared" si="34"/>
        <v>300000</v>
      </c>
      <c r="H582" s="4">
        <f t="shared" si="35"/>
        <v>-80000</v>
      </c>
    </row>
    <row r="583" spans="2:8" x14ac:dyDescent="0.35">
      <c r="B583" s="5">
        <v>15901.333658864101</v>
      </c>
      <c r="C583" s="6">
        <f t="shared" si="32"/>
        <v>300000</v>
      </c>
      <c r="D583" s="5">
        <f t="shared" si="33"/>
        <v>550000</v>
      </c>
      <c r="F583" s="4">
        <v>4950.8957182531203</v>
      </c>
      <c r="G583" s="4">
        <f t="shared" si="34"/>
        <v>247544.78591265602</v>
      </c>
      <c r="H583" s="4">
        <f t="shared" si="35"/>
        <v>-153437.29972228158</v>
      </c>
    </row>
    <row r="584" spans="2:8" x14ac:dyDescent="0.35">
      <c r="B584" s="5">
        <v>13514.938810388501</v>
      </c>
      <c r="C584" s="6">
        <f t="shared" si="32"/>
        <v>300000</v>
      </c>
      <c r="D584" s="5">
        <f t="shared" si="33"/>
        <v>446045.71672719507</v>
      </c>
      <c r="F584" s="4">
        <v>4528.3669545579396</v>
      </c>
      <c r="G584" s="4">
        <f t="shared" si="34"/>
        <v>226418.34772789699</v>
      </c>
      <c r="H584" s="4">
        <f t="shared" si="35"/>
        <v>-183014.31318094424</v>
      </c>
    </row>
    <row r="585" spans="2:8" x14ac:dyDescent="0.35">
      <c r="B585" s="5">
        <v>14520.065919980469</v>
      </c>
      <c r="C585" s="6">
        <f t="shared" si="32"/>
        <v>300000</v>
      </c>
      <c r="D585" s="5">
        <f t="shared" si="33"/>
        <v>516404.61439863278</v>
      </c>
      <c r="F585" s="4">
        <v>5286.9045075838494</v>
      </c>
      <c r="G585" s="4">
        <f t="shared" si="34"/>
        <v>264345.22537919244</v>
      </c>
      <c r="H585" s="4">
        <f t="shared" si="35"/>
        <v>-129916.68446913053</v>
      </c>
    </row>
    <row r="586" spans="2:8" x14ac:dyDescent="0.35">
      <c r="B586" s="5">
        <v>12082.399975585193</v>
      </c>
      <c r="C586" s="6">
        <f t="shared" si="32"/>
        <v>300000</v>
      </c>
      <c r="D586" s="5">
        <f t="shared" si="33"/>
        <v>345767.99829096347</v>
      </c>
      <c r="F586" s="4">
        <v>7475.2342295602284</v>
      </c>
      <c r="G586" s="4">
        <f t="shared" si="34"/>
        <v>300000</v>
      </c>
      <c r="H586" s="4">
        <f t="shared" si="35"/>
        <v>-80000</v>
      </c>
    </row>
    <row r="587" spans="2:8" x14ac:dyDescent="0.35">
      <c r="B587" s="5">
        <v>13812.646870326853</v>
      </c>
      <c r="C587" s="6">
        <f t="shared" si="32"/>
        <v>300000</v>
      </c>
      <c r="D587" s="5">
        <f t="shared" si="33"/>
        <v>466885.2809228797</v>
      </c>
      <c r="F587" s="4">
        <v>6208.5634937589648</v>
      </c>
      <c r="G587" s="4">
        <f t="shared" si="34"/>
        <v>300000</v>
      </c>
      <c r="H587" s="4">
        <f t="shared" si="35"/>
        <v>-80000</v>
      </c>
    </row>
    <row r="588" spans="2:8" x14ac:dyDescent="0.35">
      <c r="B588" s="5">
        <v>14420.117801446577</v>
      </c>
      <c r="C588" s="6">
        <f t="shared" ref="C588:C651" si="36">50*MIN(B588,6000)</f>
        <v>300000</v>
      </c>
      <c r="D588" s="5">
        <f t="shared" ref="D588:D651" si="37">70*MIN(B588,15000)-500000</f>
        <v>509408.24610126042</v>
      </c>
      <c r="F588" s="4">
        <v>5547.2273934141049</v>
      </c>
      <c r="G588" s="4">
        <f t="shared" ref="G588:G651" si="38">50*MIN(F588,6000)</f>
        <v>277361.36967070523</v>
      </c>
      <c r="H588" s="4">
        <f t="shared" ref="H588:H651" si="39">70*MIN(F588,6000)-500000</f>
        <v>-111694.08246101264</v>
      </c>
    </row>
    <row r="589" spans="2:8" x14ac:dyDescent="0.35">
      <c r="B589" s="5">
        <v>15553.117465742973</v>
      </c>
      <c r="C589" s="6">
        <f t="shared" si="36"/>
        <v>300000</v>
      </c>
      <c r="D589" s="5">
        <f t="shared" si="37"/>
        <v>550000</v>
      </c>
      <c r="F589" s="4">
        <v>4114.9937437055578</v>
      </c>
      <c r="G589" s="4">
        <f t="shared" si="38"/>
        <v>205749.6871852779</v>
      </c>
      <c r="H589" s="4">
        <f t="shared" si="39"/>
        <v>-211950.43794061098</v>
      </c>
    </row>
    <row r="590" spans="2:8" x14ac:dyDescent="0.35">
      <c r="B590" s="5">
        <v>14741.019928586687</v>
      </c>
      <c r="C590" s="6">
        <f t="shared" si="36"/>
        <v>300000</v>
      </c>
      <c r="D590" s="5">
        <f t="shared" si="37"/>
        <v>531871.39500106813</v>
      </c>
      <c r="F590" s="4">
        <v>6557.6952421643728</v>
      </c>
      <c r="G590" s="4">
        <f t="shared" si="38"/>
        <v>300000</v>
      </c>
      <c r="H590" s="4">
        <f t="shared" si="39"/>
        <v>-80000</v>
      </c>
    </row>
    <row r="591" spans="2:8" x14ac:dyDescent="0.35">
      <c r="B591" s="5">
        <v>12558.641315958128</v>
      </c>
      <c r="C591" s="6">
        <f t="shared" si="36"/>
        <v>300000</v>
      </c>
      <c r="D591" s="5">
        <f t="shared" si="37"/>
        <v>379104.89211706899</v>
      </c>
      <c r="F591" s="4">
        <v>3598.010193182165</v>
      </c>
      <c r="G591" s="4">
        <f t="shared" si="38"/>
        <v>179900.50965910824</v>
      </c>
      <c r="H591" s="4">
        <f t="shared" si="39"/>
        <v>-248139.28647724845</v>
      </c>
    </row>
    <row r="592" spans="2:8" x14ac:dyDescent="0.35">
      <c r="B592" s="5">
        <v>16034.852137821588</v>
      </c>
      <c r="C592" s="6">
        <f t="shared" si="36"/>
        <v>300000</v>
      </c>
      <c r="D592" s="5">
        <f t="shared" si="37"/>
        <v>550000</v>
      </c>
      <c r="F592" s="4">
        <v>5453.8407544175543</v>
      </c>
      <c r="G592" s="4">
        <f t="shared" si="38"/>
        <v>272692.03772087774</v>
      </c>
      <c r="H592" s="4">
        <f t="shared" si="39"/>
        <v>-118231.14719077118</v>
      </c>
    </row>
    <row r="593" spans="2:8" x14ac:dyDescent="0.35">
      <c r="B593" s="5">
        <v>13096.98782311472</v>
      </c>
      <c r="C593" s="6">
        <f t="shared" si="36"/>
        <v>300000</v>
      </c>
      <c r="D593" s="5">
        <f t="shared" si="37"/>
        <v>416789.14761803031</v>
      </c>
      <c r="F593" s="4">
        <v>5210.7608264412365</v>
      </c>
      <c r="G593" s="4">
        <f t="shared" si="38"/>
        <v>260538.04132206182</v>
      </c>
      <c r="H593" s="4">
        <f t="shared" si="39"/>
        <v>-135246.74214911344</v>
      </c>
    </row>
    <row r="594" spans="2:8" x14ac:dyDescent="0.35">
      <c r="B594" s="5">
        <v>12101.93182164983</v>
      </c>
      <c r="C594" s="6">
        <f t="shared" si="36"/>
        <v>300000</v>
      </c>
      <c r="D594" s="5">
        <f t="shared" si="37"/>
        <v>347135.22751548816</v>
      </c>
      <c r="F594" s="4">
        <v>4701.1017181920834</v>
      </c>
      <c r="G594" s="4">
        <f t="shared" si="38"/>
        <v>235055.08590960415</v>
      </c>
      <c r="H594" s="4">
        <f t="shared" si="39"/>
        <v>-170922.87972655415</v>
      </c>
    </row>
    <row r="595" spans="2:8" x14ac:dyDescent="0.35">
      <c r="B595" s="5">
        <v>14022.309030426954</v>
      </c>
      <c r="C595" s="6">
        <f t="shared" si="36"/>
        <v>300000</v>
      </c>
      <c r="D595" s="5">
        <f t="shared" si="37"/>
        <v>481561.63212988677</v>
      </c>
      <c r="F595" s="4">
        <v>3244.3006683553576</v>
      </c>
      <c r="G595" s="4">
        <f t="shared" si="38"/>
        <v>162215.03341776787</v>
      </c>
      <c r="H595" s="4">
        <f t="shared" si="39"/>
        <v>-272898.95321512496</v>
      </c>
    </row>
    <row r="596" spans="2:8" x14ac:dyDescent="0.35">
      <c r="B596" s="5">
        <v>15427.991576891385</v>
      </c>
      <c r="C596" s="6">
        <f t="shared" si="36"/>
        <v>300000</v>
      </c>
      <c r="D596" s="5">
        <f t="shared" si="37"/>
        <v>550000</v>
      </c>
      <c r="F596" s="4">
        <v>4176.7937253944519</v>
      </c>
      <c r="G596" s="4">
        <f t="shared" si="38"/>
        <v>208839.68626972259</v>
      </c>
      <c r="H596" s="4">
        <f t="shared" si="39"/>
        <v>-207624.43922238838</v>
      </c>
    </row>
    <row r="597" spans="2:8" x14ac:dyDescent="0.35">
      <c r="B597" s="5">
        <v>15294.930875576038</v>
      </c>
      <c r="C597" s="6">
        <f t="shared" si="36"/>
        <v>300000</v>
      </c>
      <c r="D597" s="5">
        <f t="shared" si="37"/>
        <v>550000</v>
      </c>
      <c r="F597" s="4">
        <v>6378.5515915402693</v>
      </c>
      <c r="G597" s="4">
        <f t="shared" si="38"/>
        <v>300000</v>
      </c>
      <c r="H597" s="4">
        <f t="shared" si="39"/>
        <v>-80000</v>
      </c>
    </row>
    <row r="598" spans="2:8" x14ac:dyDescent="0.35">
      <c r="B598" s="5">
        <v>14192.297128208258</v>
      </c>
      <c r="C598" s="6">
        <f t="shared" si="36"/>
        <v>300000</v>
      </c>
      <c r="D598" s="5">
        <f t="shared" si="37"/>
        <v>493460.79897457804</v>
      </c>
      <c r="F598" s="4">
        <v>3221.4117862483595</v>
      </c>
      <c r="G598" s="4">
        <f t="shared" si="38"/>
        <v>161070.58931241799</v>
      </c>
      <c r="H598" s="4">
        <f t="shared" si="39"/>
        <v>-274501.17496261484</v>
      </c>
    </row>
    <row r="599" spans="2:8" x14ac:dyDescent="0.35">
      <c r="B599" s="5">
        <v>12256.050294503617</v>
      </c>
      <c r="C599" s="6">
        <f t="shared" si="36"/>
        <v>300000</v>
      </c>
      <c r="D599" s="5">
        <f t="shared" si="37"/>
        <v>357923.52061525313</v>
      </c>
      <c r="F599" s="4">
        <v>4513.2602923673203</v>
      </c>
      <c r="G599" s="4">
        <f t="shared" si="38"/>
        <v>225663.01461836603</v>
      </c>
      <c r="H599" s="4">
        <f t="shared" si="39"/>
        <v>-184071.77953428758</v>
      </c>
    </row>
    <row r="600" spans="2:8" x14ac:dyDescent="0.35">
      <c r="B600" s="5">
        <v>15541.367839594714</v>
      </c>
      <c r="C600" s="6">
        <f t="shared" si="36"/>
        <v>300000</v>
      </c>
      <c r="D600" s="5">
        <f t="shared" si="37"/>
        <v>550000</v>
      </c>
      <c r="F600" s="4">
        <v>6180.028687398908</v>
      </c>
      <c r="G600" s="4">
        <f t="shared" si="38"/>
        <v>300000</v>
      </c>
      <c r="H600" s="4">
        <f t="shared" si="39"/>
        <v>-80000</v>
      </c>
    </row>
    <row r="601" spans="2:8" x14ac:dyDescent="0.35">
      <c r="B601" s="5">
        <v>15519.699697866756</v>
      </c>
      <c r="C601" s="6">
        <f t="shared" si="36"/>
        <v>300000</v>
      </c>
      <c r="D601" s="5">
        <f t="shared" si="37"/>
        <v>550000</v>
      </c>
      <c r="F601" s="4">
        <v>4043.4278389843439</v>
      </c>
      <c r="G601" s="4">
        <f t="shared" si="38"/>
        <v>202171.39194921718</v>
      </c>
      <c r="H601" s="4">
        <f t="shared" si="39"/>
        <v>-216960.05127109593</v>
      </c>
    </row>
    <row r="602" spans="2:8" x14ac:dyDescent="0.35">
      <c r="B602" s="5">
        <v>16793.54228339488</v>
      </c>
      <c r="C602" s="6">
        <f t="shared" si="36"/>
        <v>300000</v>
      </c>
      <c r="D602" s="5">
        <f t="shared" si="37"/>
        <v>550000</v>
      </c>
      <c r="F602" s="4">
        <v>5892.239143040254</v>
      </c>
      <c r="G602" s="4">
        <f t="shared" si="38"/>
        <v>294611.95715201268</v>
      </c>
      <c r="H602" s="4">
        <f t="shared" si="39"/>
        <v>-87543.259987182217</v>
      </c>
    </row>
    <row r="603" spans="2:8" x14ac:dyDescent="0.35">
      <c r="B603" s="5">
        <v>14713.55327005829</v>
      </c>
      <c r="C603" s="6">
        <f t="shared" si="36"/>
        <v>300000</v>
      </c>
      <c r="D603" s="5">
        <f t="shared" si="37"/>
        <v>529948.72890408034</v>
      </c>
      <c r="F603" s="4">
        <v>4435.4380932035274</v>
      </c>
      <c r="G603" s="4">
        <f t="shared" si="38"/>
        <v>221771.90466017637</v>
      </c>
      <c r="H603" s="4">
        <f t="shared" si="39"/>
        <v>-189519.33347575308</v>
      </c>
    </row>
    <row r="604" spans="2:8" x14ac:dyDescent="0.35">
      <c r="B604" s="5">
        <v>12122.684408093508</v>
      </c>
      <c r="C604" s="6">
        <f t="shared" si="36"/>
        <v>300000</v>
      </c>
      <c r="D604" s="5">
        <f t="shared" si="37"/>
        <v>348587.90856654558</v>
      </c>
      <c r="F604" s="4">
        <v>7814.2948698385571</v>
      </c>
      <c r="G604" s="4">
        <f t="shared" si="38"/>
        <v>300000</v>
      </c>
      <c r="H604" s="4">
        <f t="shared" si="39"/>
        <v>-80000</v>
      </c>
    </row>
    <row r="605" spans="2:8" x14ac:dyDescent="0.35">
      <c r="B605" s="5">
        <v>14704.855494857631</v>
      </c>
      <c r="C605" s="6">
        <f t="shared" si="36"/>
        <v>300000</v>
      </c>
      <c r="D605" s="5">
        <f t="shared" si="37"/>
        <v>529339.88464003417</v>
      </c>
      <c r="F605" s="4">
        <v>4321.6040528580579</v>
      </c>
      <c r="G605" s="4">
        <f t="shared" si="38"/>
        <v>216080.20264290291</v>
      </c>
      <c r="H605" s="4">
        <f t="shared" si="39"/>
        <v>-197487.71629993594</v>
      </c>
    </row>
    <row r="606" spans="2:8" x14ac:dyDescent="0.35">
      <c r="B606" s="5">
        <v>15076.876125370038</v>
      </c>
      <c r="C606" s="6">
        <f t="shared" si="36"/>
        <v>300000</v>
      </c>
      <c r="D606" s="5">
        <f t="shared" si="37"/>
        <v>550000</v>
      </c>
      <c r="F606" s="4">
        <v>6360.2404858546706</v>
      </c>
      <c r="G606" s="4">
        <f t="shared" si="38"/>
        <v>300000</v>
      </c>
      <c r="H606" s="4">
        <f t="shared" si="39"/>
        <v>-80000</v>
      </c>
    </row>
    <row r="607" spans="2:8" x14ac:dyDescent="0.35">
      <c r="B607" s="5">
        <v>14466.353343302713</v>
      </c>
      <c r="C607" s="6">
        <f t="shared" si="36"/>
        <v>300000</v>
      </c>
      <c r="D607" s="5">
        <f t="shared" si="37"/>
        <v>512644.73403118993</v>
      </c>
      <c r="F607" s="4">
        <v>3587.0235297708059</v>
      </c>
      <c r="G607" s="4">
        <f t="shared" si="38"/>
        <v>179351.17648854031</v>
      </c>
      <c r="H607" s="4">
        <f t="shared" si="39"/>
        <v>-248908.3529160436</v>
      </c>
    </row>
    <row r="608" spans="2:8" x14ac:dyDescent="0.35">
      <c r="B608" s="5">
        <v>12698.110904263436</v>
      </c>
      <c r="C608" s="6">
        <f t="shared" si="36"/>
        <v>300000</v>
      </c>
      <c r="D608" s="5">
        <f t="shared" si="37"/>
        <v>388867.76329844049</v>
      </c>
      <c r="F608" s="4">
        <v>5303.9948728904083</v>
      </c>
      <c r="G608" s="4">
        <f t="shared" si="38"/>
        <v>265199.74364452041</v>
      </c>
      <c r="H608" s="4">
        <f t="shared" si="39"/>
        <v>-128720.35889767139</v>
      </c>
    </row>
    <row r="609" spans="2:8" x14ac:dyDescent="0.35">
      <c r="B609" s="5">
        <v>12549.943540757469</v>
      </c>
      <c r="C609" s="6">
        <f t="shared" si="36"/>
        <v>300000</v>
      </c>
      <c r="D609" s="5">
        <f t="shared" si="37"/>
        <v>378496.04785302281</v>
      </c>
      <c r="F609" s="4">
        <v>7185.4609820856349</v>
      </c>
      <c r="G609" s="4">
        <f t="shared" si="38"/>
        <v>300000</v>
      </c>
      <c r="H609" s="4">
        <f t="shared" si="39"/>
        <v>-80000</v>
      </c>
    </row>
    <row r="610" spans="2:8" x14ac:dyDescent="0.35">
      <c r="B610" s="5">
        <v>15609.576708273567</v>
      </c>
      <c r="C610" s="6">
        <f t="shared" si="36"/>
        <v>300000</v>
      </c>
      <c r="D610" s="5">
        <f t="shared" si="37"/>
        <v>550000</v>
      </c>
      <c r="F610" s="4">
        <v>6273.4153263954595</v>
      </c>
      <c r="G610" s="4">
        <f t="shared" si="38"/>
        <v>300000</v>
      </c>
      <c r="H610" s="4">
        <f t="shared" si="39"/>
        <v>-80000</v>
      </c>
    </row>
    <row r="611" spans="2:8" x14ac:dyDescent="0.35">
      <c r="B611" s="5">
        <v>12313.882869960631</v>
      </c>
      <c r="C611" s="6">
        <f t="shared" si="36"/>
        <v>300000</v>
      </c>
      <c r="D611" s="5">
        <f t="shared" si="37"/>
        <v>361971.80089724413</v>
      </c>
      <c r="F611" s="4">
        <v>4829.4320505386513</v>
      </c>
      <c r="G611" s="4">
        <f t="shared" si="38"/>
        <v>241471.60252693258</v>
      </c>
      <c r="H611" s="4">
        <f t="shared" si="39"/>
        <v>-161939.75646229443</v>
      </c>
    </row>
    <row r="612" spans="2:8" x14ac:dyDescent="0.35">
      <c r="B612" s="5">
        <v>15867.152928250984</v>
      </c>
      <c r="C612" s="6">
        <f t="shared" si="36"/>
        <v>300000</v>
      </c>
      <c r="D612" s="5">
        <f t="shared" si="37"/>
        <v>550000</v>
      </c>
      <c r="F612" s="4">
        <v>4149.0218817712939</v>
      </c>
      <c r="G612" s="4">
        <f t="shared" si="38"/>
        <v>207451.09408856469</v>
      </c>
      <c r="H612" s="4">
        <f t="shared" si="39"/>
        <v>-209568.46827600943</v>
      </c>
    </row>
    <row r="613" spans="2:8" x14ac:dyDescent="0.35">
      <c r="B613" s="5">
        <v>12761.58940397351</v>
      </c>
      <c r="C613" s="6">
        <f t="shared" si="36"/>
        <v>300000</v>
      </c>
      <c r="D613" s="5">
        <f t="shared" si="37"/>
        <v>393311.25827814569</v>
      </c>
      <c r="F613" s="4">
        <v>6380.8404797509684</v>
      </c>
      <c r="G613" s="4">
        <f t="shared" si="38"/>
        <v>300000</v>
      </c>
      <c r="H613" s="4">
        <f t="shared" si="39"/>
        <v>-80000</v>
      </c>
    </row>
    <row r="614" spans="2:8" x14ac:dyDescent="0.35">
      <c r="B614" s="5">
        <v>16259.163182470169</v>
      </c>
      <c r="C614" s="6">
        <f t="shared" si="36"/>
        <v>300000</v>
      </c>
      <c r="D614" s="5">
        <f t="shared" si="37"/>
        <v>550000</v>
      </c>
      <c r="F614" s="4">
        <v>6152.8672139652699</v>
      </c>
      <c r="G614" s="4">
        <f t="shared" si="38"/>
        <v>300000</v>
      </c>
      <c r="H614" s="4">
        <f t="shared" si="39"/>
        <v>-80000</v>
      </c>
    </row>
    <row r="615" spans="2:8" x14ac:dyDescent="0.35">
      <c r="B615" s="5">
        <v>15193.151646473587</v>
      </c>
      <c r="C615" s="6">
        <f t="shared" si="36"/>
        <v>300000</v>
      </c>
      <c r="D615" s="5">
        <f t="shared" si="37"/>
        <v>550000</v>
      </c>
      <c r="F615" s="4">
        <v>3818.2012390514847</v>
      </c>
      <c r="G615" s="4">
        <f t="shared" si="38"/>
        <v>190910.06195257424</v>
      </c>
      <c r="H615" s="4">
        <f t="shared" si="39"/>
        <v>-232725.91326639609</v>
      </c>
    </row>
    <row r="616" spans="2:8" x14ac:dyDescent="0.35">
      <c r="B616" s="5">
        <v>16700.613422040467</v>
      </c>
      <c r="C616" s="6">
        <f t="shared" si="36"/>
        <v>300000</v>
      </c>
      <c r="D616" s="5">
        <f t="shared" si="37"/>
        <v>550000</v>
      </c>
      <c r="F616" s="4">
        <v>3225.0740073854795</v>
      </c>
      <c r="G616" s="4">
        <f t="shared" si="38"/>
        <v>161253.70036927398</v>
      </c>
      <c r="H616" s="4">
        <f t="shared" si="39"/>
        <v>-274244.81948301644</v>
      </c>
    </row>
    <row r="617" spans="2:8" x14ac:dyDescent="0.35">
      <c r="B617" s="5">
        <v>14982.116153447067</v>
      </c>
      <c r="C617" s="6">
        <f t="shared" si="36"/>
        <v>300000</v>
      </c>
      <c r="D617" s="5">
        <f t="shared" si="37"/>
        <v>548748.13074129471</v>
      </c>
      <c r="F617" s="4">
        <v>5254.4022949919126</v>
      </c>
      <c r="G617" s="4">
        <f t="shared" si="38"/>
        <v>262720.11474959564</v>
      </c>
      <c r="H617" s="4">
        <f t="shared" si="39"/>
        <v>-132191.83935056609</v>
      </c>
    </row>
    <row r="618" spans="2:8" x14ac:dyDescent="0.35">
      <c r="B618" s="5">
        <v>16031.037324137089</v>
      </c>
      <c r="C618" s="6">
        <f t="shared" si="36"/>
        <v>300000</v>
      </c>
      <c r="D618" s="5">
        <f t="shared" si="37"/>
        <v>550000</v>
      </c>
      <c r="F618" s="4">
        <v>3540.9405804620501</v>
      </c>
      <c r="G618" s="4">
        <f t="shared" si="38"/>
        <v>177047.02902310251</v>
      </c>
      <c r="H618" s="4">
        <f t="shared" si="39"/>
        <v>-252134.15936765648</v>
      </c>
    </row>
    <row r="619" spans="2:8" x14ac:dyDescent="0.35">
      <c r="B619" s="5">
        <v>14791.680654316842</v>
      </c>
      <c r="C619" s="6">
        <f t="shared" si="36"/>
        <v>300000</v>
      </c>
      <c r="D619" s="5">
        <f t="shared" si="37"/>
        <v>535417.645802179</v>
      </c>
      <c r="F619" s="4">
        <v>7685.0489822077088</v>
      </c>
      <c r="G619" s="4">
        <f t="shared" si="38"/>
        <v>300000</v>
      </c>
      <c r="H619" s="4">
        <f t="shared" si="39"/>
        <v>-80000</v>
      </c>
    </row>
    <row r="620" spans="2:8" x14ac:dyDescent="0.35">
      <c r="B620" s="5">
        <v>16525.131992553484</v>
      </c>
      <c r="C620" s="6">
        <f t="shared" si="36"/>
        <v>300000</v>
      </c>
      <c r="D620" s="5">
        <f t="shared" si="37"/>
        <v>550000</v>
      </c>
      <c r="F620" s="4">
        <v>4361.8884853663749</v>
      </c>
      <c r="G620" s="4">
        <f t="shared" si="38"/>
        <v>218094.42426831875</v>
      </c>
      <c r="H620" s="4">
        <f t="shared" si="39"/>
        <v>-194667.80602435378</v>
      </c>
    </row>
    <row r="621" spans="2:8" x14ac:dyDescent="0.35">
      <c r="B621" s="5">
        <v>13564.378795739616</v>
      </c>
      <c r="C621" s="6">
        <f t="shared" si="36"/>
        <v>300000</v>
      </c>
      <c r="D621" s="5">
        <f t="shared" si="37"/>
        <v>449506.51570177311</v>
      </c>
      <c r="F621" s="4">
        <v>6142.033143101291</v>
      </c>
      <c r="G621" s="4">
        <f t="shared" si="38"/>
        <v>300000</v>
      </c>
      <c r="H621" s="4">
        <f t="shared" si="39"/>
        <v>-80000</v>
      </c>
    </row>
    <row r="622" spans="2:8" x14ac:dyDescent="0.35">
      <c r="B622" s="5">
        <v>14367.931150242623</v>
      </c>
      <c r="C622" s="6">
        <f t="shared" si="36"/>
        <v>300000</v>
      </c>
      <c r="D622" s="5">
        <f t="shared" si="37"/>
        <v>505755.18051698362</v>
      </c>
      <c r="F622" s="4">
        <v>5454.7563097018337</v>
      </c>
      <c r="G622" s="4">
        <f t="shared" si="38"/>
        <v>272737.81548509171</v>
      </c>
      <c r="H622" s="4">
        <f t="shared" si="39"/>
        <v>-118167.05832087161</v>
      </c>
    </row>
    <row r="623" spans="2:8" x14ac:dyDescent="0.35">
      <c r="B623" s="5">
        <v>12773.033845027008</v>
      </c>
      <c r="C623" s="6">
        <f t="shared" si="36"/>
        <v>300000</v>
      </c>
      <c r="D623" s="5">
        <f t="shared" si="37"/>
        <v>394112.36915189063</v>
      </c>
      <c r="F623" s="4">
        <v>5800.5310220648826</v>
      </c>
      <c r="G623" s="4">
        <f t="shared" si="38"/>
        <v>290026.55110324413</v>
      </c>
      <c r="H623" s="4">
        <f t="shared" si="39"/>
        <v>-93962.828455458221</v>
      </c>
    </row>
    <row r="624" spans="2:8" x14ac:dyDescent="0.35">
      <c r="B624" s="5">
        <v>12871.76122318186</v>
      </c>
      <c r="C624" s="6">
        <f t="shared" si="36"/>
        <v>300000</v>
      </c>
      <c r="D624" s="5">
        <f t="shared" si="37"/>
        <v>401023.28562273027</v>
      </c>
      <c r="F624" s="4">
        <v>5680.5932798242138</v>
      </c>
      <c r="G624" s="4">
        <f t="shared" si="38"/>
        <v>284029.66399121069</v>
      </c>
      <c r="H624" s="4">
        <f t="shared" si="39"/>
        <v>-102358.47041230503</v>
      </c>
    </row>
    <row r="625" spans="2:8" x14ac:dyDescent="0.35">
      <c r="B625" s="5">
        <v>15849.604785302286</v>
      </c>
      <c r="C625" s="6">
        <f t="shared" si="36"/>
        <v>300000</v>
      </c>
      <c r="D625" s="5">
        <f t="shared" si="37"/>
        <v>550000</v>
      </c>
      <c r="F625" s="4">
        <v>3481.1243018890955</v>
      </c>
      <c r="G625" s="4">
        <f t="shared" si="38"/>
        <v>174056.21509445476</v>
      </c>
      <c r="H625" s="4">
        <f t="shared" si="39"/>
        <v>-256321.29886776331</v>
      </c>
    </row>
    <row r="626" spans="2:8" x14ac:dyDescent="0.35">
      <c r="B626" s="5">
        <v>16944.914090395825</v>
      </c>
      <c r="C626" s="6">
        <f t="shared" si="36"/>
        <v>300000</v>
      </c>
      <c r="D626" s="5">
        <f t="shared" si="37"/>
        <v>550000</v>
      </c>
      <c r="F626" s="4">
        <v>4678.8232062746056</v>
      </c>
      <c r="G626" s="4">
        <f t="shared" si="38"/>
        <v>233941.16031373027</v>
      </c>
      <c r="H626" s="4">
        <f t="shared" si="39"/>
        <v>-172482.37556077761</v>
      </c>
    </row>
    <row r="627" spans="2:8" x14ac:dyDescent="0.35">
      <c r="B627" s="5">
        <v>16519.791253395182</v>
      </c>
      <c r="C627" s="6">
        <f t="shared" si="36"/>
        <v>300000</v>
      </c>
      <c r="D627" s="5">
        <f t="shared" si="37"/>
        <v>550000</v>
      </c>
      <c r="F627" s="4">
        <v>4022.675252540666</v>
      </c>
      <c r="G627" s="4">
        <f t="shared" si="38"/>
        <v>201133.76262703328</v>
      </c>
      <c r="H627" s="4">
        <f t="shared" si="39"/>
        <v>-218412.7323221534</v>
      </c>
    </row>
    <row r="628" spans="2:8" x14ac:dyDescent="0.35">
      <c r="B628" s="5">
        <v>12872.676778466141</v>
      </c>
      <c r="C628" s="6">
        <f t="shared" si="36"/>
        <v>300000</v>
      </c>
      <c r="D628" s="5">
        <f t="shared" si="37"/>
        <v>401087.3744926299</v>
      </c>
      <c r="F628" s="4">
        <v>4473.4336375011444</v>
      </c>
      <c r="G628" s="4">
        <f t="shared" si="38"/>
        <v>223671.68187505723</v>
      </c>
      <c r="H628" s="4">
        <f t="shared" si="39"/>
        <v>-186859.64537491987</v>
      </c>
    </row>
    <row r="629" spans="2:8" x14ac:dyDescent="0.35">
      <c r="B629" s="5">
        <v>15101.748710592976</v>
      </c>
      <c r="C629" s="6">
        <f t="shared" si="36"/>
        <v>300000</v>
      </c>
      <c r="D629" s="5">
        <f t="shared" si="37"/>
        <v>550000</v>
      </c>
      <c r="F629" s="4">
        <v>3297.8606524857328</v>
      </c>
      <c r="G629" s="4">
        <f t="shared" si="38"/>
        <v>164893.03262428663</v>
      </c>
      <c r="H629" s="4">
        <f t="shared" si="39"/>
        <v>-269149.75432599871</v>
      </c>
    </row>
    <row r="630" spans="2:8" x14ac:dyDescent="0.35">
      <c r="B630" s="5">
        <v>12487.685781426435</v>
      </c>
      <c r="C630" s="6">
        <f t="shared" si="36"/>
        <v>300000</v>
      </c>
      <c r="D630" s="5">
        <f t="shared" si="37"/>
        <v>374138.00469985045</v>
      </c>
      <c r="F630" s="4">
        <v>6926.511429181799</v>
      </c>
      <c r="G630" s="4">
        <f t="shared" si="38"/>
        <v>300000</v>
      </c>
      <c r="H630" s="4">
        <f t="shared" si="39"/>
        <v>-80000</v>
      </c>
    </row>
    <row r="631" spans="2:8" x14ac:dyDescent="0.35">
      <c r="B631" s="5">
        <v>16799.95117038484</v>
      </c>
      <c r="C631" s="6">
        <f t="shared" si="36"/>
        <v>300000</v>
      </c>
      <c r="D631" s="5">
        <f t="shared" si="37"/>
        <v>550000</v>
      </c>
      <c r="F631" s="4">
        <v>6337.6567888424324</v>
      </c>
      <c r="G631" s="4">
        <f t="shared" si="38"/>
        <v>300000</v>
      </c>
      <c r="H631" s="4">
        <f t="shared" si="39"/>
        <v>-80000</v>
      </c>
    </row>
    <row r="632" spans="2:8" x14ac:dyDescent="0.35">
      <c r="B632" s="5">
        <v>15886.532181768242</v>
      </c>
      <c r="C632" s="6">
        <f t="shared" si="36"/>
        <v>300000</v>
      </c>
      <c r="D632" s="5">
        <f t="shared" si="37"/>
        <v>550000</v>
      </c>
      <c r="F632" s="4">
        <v>7904.7822504348887</v>
      </c>
      <c r="G632" s="4">
        <f t="shared" si="38"/>
        <v>300000</v>
      </c>
      <c r="H632" s="4">
        <f t="shared" si="39"/>
        <v>-80000</v>
      </c>
    </row>
    <row r="633" spans="2:8" x14ac:dyDescent="0.35">
      <c r="B633" s="5">
        <v>15757.591479232155</v>
      </c>
      <c r="C633" s="6">
        <f t="shared" si="36"/>
        <v>300000</v>
      </c>
      <c r="D633" s="5">
        <f t="shared" si="37"/>
        <v>550000</v>
      </c>
      <c r="F633" s="4">
        <v>4228.3700064088871</v>
      </c>
      <c r="G633" s="4">
        <f t="shared" si="38"/>
        <v>211418.50032044435</v>
      </c>
      <c r="H633" s="4">
        <f t="shared" si="39"/>
        <v>-204014.09955137788</v>
      </c>
    </row>
    <row r="634" spans="2:8" x14ac:dyDescent="0.35">
      <c r="B634" s="5">
        <v>12649.5864741966</v>
      </c>
      <c r="C634" s="6">
        <f t="shared" si="36"/>
        <v>300000</v>
      </c>
      <c r="D634" s="5">
        <f t="shared" si="37"/>
        <v>385471.05319376197</v>
      </c>
      <c r="F634" s="4">
        <v>3400.4028443250832</v>
      </c>
      <c r="G634" s="4">
        <f t="shared" si="38"/>
        <v>170020.14221625417</v>
      </c>
      <c r="H634" s="4">
        <f t="shared" si="39"/>
        <v>-261971.80089724419</v>
      </c>
    </row>
    <row r="635" spans="2:8" x14ac:dyDescent="0.35">
      <c r="B635" s="5">
        <v>16263.740958891569</v>
      </c>
      <c r="C635" s="6">
        <f t="shared" si="36"/>
        <v>300000</v>
      </c>
      <c r="D635" s="5">
        <f t="shared" si="37"/>
        <v>550000</v>
      </c>
      <c r="F635" s="4">
        <v>5300.4852443006685</v>
      </c>
      <c r="G635" s="4">
        <f t="shared" si="38"/>
        <v>265024.26221503341</v>
      </c>
      <c r="H635" s="4">
        <f t="shared" si="39"/>
        <v>-128966.03289895318</v>
      </c>
    </row>
    <row r="636" spans="2:8" x14ac:dyDescent="0.35">
      <c r="B636" s="5">
        <v>13632.74025696585</v>
      </c>
      <c r="C636" s="6">
        <f t="shared" si="36"/>
        <v>300000</v>
      </c>
      <c r="D636" s="5">
        <f t="shared" si="37"/>
        <v>454291.81798760954</v>
      </c>
      <c r="F636" s="4">
        <v>7316.0802026429028</v>
      </c>
      <c r="G636" s="4">
        <f t="shared" si="38"/>
        <v>300000</v>
      </c>
      <c r="H636" s="4">
        <f t="shared" si="39"/>
        <v>-80000</v>
      </c>
    </row>
    <row r="637" spans="2:8" x14ac:dyDescent="0.35">
      <c r="B637" s="5">
        <v>16147.007660145879</v>
      </c>
      <c r="C637" s="6">
        <f t="shared" si="36"/>
        <v>300000</v>
      </c>
      <c r="D637" s="5">
        <f t="shared" si="37"/>
        <v>550000</v>
      </c>
      <c r="F637" s="4">
        <v>7729.6060060426644</v>
      </c>
      <c r="G637" s="4">
        <f t="shared" si="38"/>
        <v>300000</v>
      </c>
      <c r="H637" s="4">
        <f t="shared" si="39"/>
        <v>-80000</v>
      </c>
    </row>
    <row r="638" spans="2:8" x14ac:dyDescent="0.35">
      <c r="B638" s="5">
        <v>14475.051118503372</v>
      </c>
      <c r="C638" s="6">
        <f t="shared" si="36"/>
        <v>300000</v>
      </c>
      <c r="D638" s="5">
        <f t="shared" si="37"/>
        <v>513253.57829523599</v>
      </c>
      <c r="F638" s="4">
        <v>5787.7132480849632</v>
      </c>
      <c r="G638" s="4">
        <f t="shared" si="38"/>
        <v>289385.66240424814</v>
      </c>
      <c r="H638" s="4">
        <f t="shared" si="39"/>
        <v>-94860.072634052602</v>
      </c>
    </row>
    <row r="639" spans="2:8" x14ac:dyDescent="0.35">
      <c r="B639" s="5">
        <v>15176.824243903928</v>
      </c>
      <c r="C639" s="6">
        <f t="shared" si="36"/>
        <v>300000</v>
      </c>
      <c r="D639" s="5">
        <f t="shared" si="37"/>
        <v>550000</v>
      </c>
      <c r="F639" s="4">
        <v>5179.9371318704798</v>
      </c>
      <c r="G639" s="4">
        <f t="shared" si="38"/>
        <v>258996.85659352399</v>
      </c>
      <c r="H639" s="4">
        <f t="shared" si="39"/>
        <v>-137404.40076906641</v>
      </c>
    </row>
    <row r="640" spans="2:8" x14ac:dyDescent="0.35">
      <c r="B640" s="5">
        <v>13618.091372417372</v>
      </c>
      <c r="C640" s="6">
        <f t="shared" si="36"/>
        <v>300000</v>
      </c>
      <c r="D640" s="5">
        <f t="shared" si="37"/>
        <v>453266.39606921596</v>
      </c>
      <c r="F640" s="4">
        <v>4415.2958769493698</v>
      </c>
      <c r="G640" s="4">
        <f t="shared" si="38"/>
        <v>220764.79384746848</v>
      </c>
      <c r="H640" s="4">
        <f t="shared" si="39"/>
        <v>-190929.28861354414</v>
      </c>
    </row>
    <row r="641" spans="2:8" x14ac:dyDescent="0.35">
      <c r="B641" s="5">
        <v>16339.57945493942</v>
      </c>
      <c r="C641" s="6">
        <f t="shared" si="36"/>
        <v>300000</v>
      </c>
      <c r="D641" s="5">
        <f t="shared" si="37"/>
        <v>550000</v>
      </c>
      <c r="F641" s="4">
        <v>7634.998626667073</v>
      </c>
      <c r="G641" s="4">
        <f t="shared" si="38"/>
        <v>300000</v>
      </c>
      <c r="H641" s="4">
        <f t="shared" si="39"/>
        <v>-80000</v>
      </c>
    </row>
    <row r="642" spans="2:8" x14ac:dyDescent="0.35">
      <c r="B642" s="5">
        <v>12482.955412457655</v>
      </c>
      <c r="C642" s="6">
        <f t="shared" si="36"/>
        <v>300000</v>
      </c>
      <c r="D642" s="5">
        <f t="shared" si="37"/>
        <v>373806.87887203589</v>
      </c>
      <c r="F642" s="4">
        <v>3214.2399365215001</v>
      </c>
      <c r="G642" s="4">
        <f t="shared" si="38"/>
        <v>160711.99682607502</v>
      </c>
      <c r="H642" s="4">
        <f t="shared" si="39"/>
        <v>-275003.20444349502</v>
      </c>
    </row>
    <row r="643" spans="2:8" x14ac:dyDescent="0.35">
      <c r="B643" s="5">
        <v>13295.20554216132</v>
      </c>
      <c r="C643" s="6">
        <f t="shared" si="36"/>
        <v>300000</v>
      </c>
      <c r="D643" s="5">
        <f t="shared" si="37"/>
        <v>430664.38795129245</v>
      </c>
      <c r="F643" s="4">
        <v>4215.0944547868285</v>
      </c>
      <c r="G643" s="4">
        <f t="shared" si="38"/>
        <v>210754.72273934144</v>
      </c>
      <c r="H643" s="4">
        <f t="shared" si="39"/>
        <v>-204943.38816492201</v>
      </c>
    </row>
    <row r="644" spans="2:8" x14ac:dyDescent="0.35">
      <c r="B644" s="5">
        <v>14134.769737846003</v>
      </c>
      <c r="C644" s="6">
        <f t="shared" si="36"/>
        <v>300000</v>
      </c>
      <c r="D644" s="5">
        <f t="shared" si="37"/>
        <v>489433.88164922025</v>
      </c>
      <c r="F644" s="4">
        <v>5132.3282570879237</v>
      </c>
      <c r="G644" s="4">
        <f t="shared" si="38"/>
        <v>256616.41285439619</v>
      </c>
      <c r="H644" s="4">
        <f t="shared" si="39"/>
        <v>-140737.02200384531</v>
      </c>
    </row>
    <row r="645" spans="2:8" x14ac:dyDescent="0.35">
      <c r="B645" s="5">
        <v>16276.711325418866</v>
      </c>
      <c r="C645" s="6">
        <f t="shared" si="36"/>
        <v>300000</v>
      </c>
      <c r="D645" s="5">
        <f t="shared" si="37"/>
        <v>550000</v>
      </c>
      <c r="F645" s="4">
        <v>6713.6448255867181</v>
      </c>
      <c r="G645" s="4">
        <f t="shared" si="38"/>
        <v>300000</v>
      </c>
      <c r="H645" s="4">
        <f t="shared" si="39"/>
        <v>-80000</v>
      </c>
    </row>
    <row r="646" spans="2:8" x14ac:dyDescent="0.35">
      <c r="B646" s="5">
        <v>14900.173955504013</v>
      </c>
      <c r="C646" s="6">
        <f t="shared" si="36"/>
        <v>300000</v>
      </c>
      <c r="D646" s="5">
        <f t="shared" si="37"/>
        <v>543012.17688528087</v>
      </c>
      <c r="F646" s="4">
        <v>3196.5392010254218</v>
      </c>
      <c r="G646" s="4">
        <f t="shared" si="38"/>
        <v>159826.96005127107</v>
      </c>
      <c r="H646" s="4">
        <f t="shared" si="39"/>
        <v>-276242.25592822046</v>
      </c>
    </row>
    <row r="647" spans="2:8" x14ac:dyDescent="0.35">
      <c r="B647" s="5">
        <v>14290.871913815728</v>
      </c>
      <c r="C647" s="6">
        <f t="shared" si="36"/>
        <v>300000</v>
      </c>
      <c r="D647" s="5">
        <f t="shared" si="37"/>
        <v>500361.03396710102</v>
      </c>
      <c r="F647" s="4">
        <v>4889.0957365642262</v>
      </c>
      <c r="G647" s="4">
        <f t="shared" si="38"/>
        <v>244454.7868282113</v>
      </c>
      <c r="H647" s="4">
        <f t="shared" si="39"/>
        <v>-157763.29844050418</v>
      </c>
    </row>
    <row r="648" spans="2:8" x14ac:dyDescent="0.35">
      <c r="B648" s="5">
        <v>16611.804559465316</v>
      </c>
      <c r="C648" s="6">
        <f t="shared" si="36"/>
        <v>300000</v>
      </c>
      <c r="D648" s="5">
        <f t="shared" si="37"/>
        <v>550000</v>
      </c>
      <c r="F648" s="4">
        <v>4422.4677266762292</v>
      </c>
      <c r="G648" s="4">
        <f t="shared" si="38"/>
        <v>221123.38633381145</v>
      </c>
      <c r="H648" s="4">
        <f t="shared" si="39"/>
        <v>-190427.25913266395</v>
      </c>
    </row>
    <row r="649" spans="2:8" x14ac:dyDescent="0.35">
      <c r="B649" s="5">
        <v>16839.472640156255</v>
      </c>
      <c r="C649" s="6">
        <f t="shared" si="36"/>
        <v>300000</v>
      </c>
      <c r="D649" s="5">
        <f t="shared" si="37"/>
        <v>550000</v>
      </c>
      <c r="F649" s="4">
        <v>5385.9370708334609</v>
      </c>
      <c r="G649" s="4">
        <f t="shared" si="38"/>
        <v>269296.85354167304</v>
      </c>
      <c r="H649" s="4">
        <f t="shared" si="39"/>
        <v>-122984.40504165774</v>
      </c>
    </row>
    <row r="650" spans="2:8" x14ac:dyDescent="0.35">
      <c r="B650" s="5">
        <v>16076.509903256325</v>
      </c>
      <c r="C650" s="6">
        <f t="shared" si="36"/>
        <v>300000</v>
      </c>
      <c r="D650" s="5">
        <f t="shared" si="37"/>
        <v>550000</v>
      </c>
      <c r="F650" s="4">
        <v>6116.2450025940734</v>
      </c>
      <c r="G650" s="4">
        <f t="shared" si="38"/>
        <v>300000</v>
      </c>
      <c r="H650" s="4">
        <f t="shared" si="39"/>
        <v>-80000</v>
      </c>
    </row>
    <row r="651" spans="2:8" x14ac:dyDescent="0.35">
      <c r="B651" s="5">
        <v>16630.115665150915</v>
      </c>
      <c r="C651" s="6">
        <f t="shared" si="36"/>
        <v>300000</v>
      </c>
      <c r="D651" s="5">
        <f t="shared" si="37"/>
        <v>550000</v>
      </c>
      <c r="F651" s="4">
        <v>3627.1553697317422</v>
      </c>
      <c r="G651" s="4">
        <f t="shared" si="38"/>
        <v>181357.7684865871</v>
      </c>
      <c r="H651" s="4">
        <f t="shared" si="39"/>
        <v>-246099.12411877804</v>
      </c>
    </row>
    <row r="652" spans="2:8" x14ac:dyDescent="0.35">
      <c r="B652" s="5">
        <v>13601.153599658193</v>
      </c>
      <c r="C652" s="6">
        <f t="shared" ref="C652:C715" si="40">50*MIN(B652,6000)</f>
        <v>300000</v>
      </c>
      <c r="D652" s="5">
        <f t="shared" ref="D652:D715" si="41">70*MIN(B652,15000)-500000</f>
        <v>452080.75197607349</v>
      </c>
      <c r="F652" s="4">
        <v>7797.0519119846185</v>
      </c>
      <c r="G652" s="4">
        <f t="shared" ref="G652:G715" si="42">50*MIN(F652,6000)</f>
        <v>300000</v>
      </c>
      <c r="H652" s="4">
        <f t="shared" ref="H652:H715" si="43">70*MIN(F652,6000)-500000</f>
        <v>-80000</v>
      </c>
    </row>
    <row r="653" spans="2:8" x14ac:dyDescent="0.35">
      <c r="B653" s="5">
        <v>14016.205328531754</v>
      </c>
      <c r="C653" s="6">
        <f t="shared" si="40"/>
        <v>300000</v>
      </c>
      <c r="D653" s="5">
        <f t="shared" si="41"/>
        <v>481134.37299722282</v>
      </c>
      <c r="F653" s="4">
        <v>5254.7074800866721</v>
      </c>
      <c r="G653" s="4">
        <f t="shared" si="42"/>
        <v>262735.37400433363</v>
      </c>
      <c r="H653" s="4">
        <f t="shared" si="43"/>
        <v>-132170.47639393294</v>
      </c>
    </row>
    <row r="654" spans="2:8" x14ac:dyDescent="0.35">
      <c r="B654" s="5">
        <v>14612.994781334881</v>
      </c>
      <c r="C654" s="6">
        <f t="shared" si="40"/>
        <v>300000</v>
      </c>
      <c r="D654" s="5">
        <f t="shared" si="41"/>
        <v>522909.63469344168</v>
      </c>
      <c r="F654" s="4">
        <v>5253.028962065493</v>
      </c>
      <c r="G654" s="4">
        <f t="shared" si="42"/>
        <v>262651.44810327463</v>
      </c>
      <c r="H654" s="4">
        <f t="shared" si="43"/>
        <v>-132287.97265541548</v>
      </c>
    </row>
    <row r="655" spans="2:8" x14ac:dyDescent="0.35">
      <c r="B655" s="5">
        <v>12314.798425244911</v>
      </c>
      <c r="C655" s="6">
        <f t="shared" si="40"/>
        <v>300000</v>
      </c>
      <c r="D655" s="5">
        <f t="shared" si="41"/>
        <v>362035.88976714376</v>
      </c>
      <c r="F655" s="4">
        <v>3825.0679036835841</v>
      </c>
      <c r="G655" s="4">
        <f t="shared" si="42"/>
        <v>191253.39518417921</v>
      </c>
      <c r="H655" s="4">
        <f t="shared" si="43"/>
        <v>-232245.24674214912</v>
      </c>
    </row>
    <row r="656" spans="2:8" x14ac:dyDescent="0.35">
      <c r="B656" s="5">
        <v>13181.371501815851</v>
      </c>
      <c r="C656" s="6">
        <f t="shared" si="40"/>
        <v>300000</v>
      </c>
      <c r="D656" s="5">
        <f t="shared" si="41"/>
        <v>422696.00512710959</v>
      </c>
      <c r="F656" s="4">
        <v>7865.1081881160926</v>
      </c>
      <c r="G656" s="4">
        <f t="shared" si="42"/>
        <v>300000</v>
      </c>
      <c r="H656" s="4">
        <f t="shared" si="43"/>
        <v>-80000</v>
      </c>
    </row>
    <row r="657" spans="2:8" x14ac:dyDescent="0.35">
      <c r="B657" s="5">
        <v>13818.597979674672</v>
      </c>
      <c r="C657" s="6">
        <f t="shared" si="40"/>
        <v>300000</v>
      </c>
      <c r="D657" s="5">
        <f t="shared" si="41"/>
        <v>467301.8585772271</v>
      </c>
      <c r="F657" s="4">
        <v>7607.0741904965362</v>
      </c>
      <c r="G657" s="4">
        <f t="shared" si="42"/>
        <v>300000</v>
      </c>
      <c r="H657" s="4">
        <f t="shared" si="43"/>
        <v>-80000</v>
      </c>
    </row>
    <row r="658" spans="2:8" x14ac:dyDescent="0.35">
      <c r="B658" s="5">
        <v>14233.954893642995</v>
      </c>
      <c r="C658" s="6">
        <f t="shared" si="40"/>
        <v>300000</v>
      </c>
      <c r="D658" s="5">
        <f t="shared" si="41"/>
        <v>496376.84255500964</v>
      </c>
      <c r="F658" s="4">
        <v>6904.9958800012209</v>
      </c>
      <c r="G658" s="4">
        <f t="shared" si="42"/>
        <v>300000</v>
      </c>
      <c r="H658" s="4">
        <f t="shared" si="43"/>
        <v>-80000</v>
      </c>
    </row>
    <row r="659" spans="2:8" x14ac:dyDescent="0.35">
      <c r="B659" s="5">
        <v>12391.399884029664</v>
      </c>
      <c r="C659" s="6">
        <f t="shared" si="40"/>
        <v>300000</v>
      </c>
      <c r="D659" s="5">
        <f t="shared" si="41"/>
        <v>367397.99188207649</v>
      </c>
      <c r="F659" s="4">
        <v>3612.5064851832635</v>
      </c>
      <c r="G659" s="4">
        <f t="shared" si="42"/>
        <v>180625.32425916317</v>
      </c>
      <c r="H659" s="4">
        <f t="shared" si="43"/>
        <v>-247124.54603717156</v>
      </c>
    </row>
    <row r="660" spans="2:8" x14ac:dyDescent="0.35">
      <c r="B660" s="5">
        <v>13056.245612964263</v>
      </c>
      <c r="C660" s="6">
        <f t="shared" si="40"/>
        <v>300000</v>
      </c>
      <c r="D660" s="5">
        <f t="shared" si="41"/>
        <v>413937.19290749845</v>
      </c>
      <c r="F660" s="4">
        <v>6665.1203955198835</v>
      </c>
      <c r="G660" s="4">
        <f t="shared" si="42"/>
        <v>300000</v>
      </c>
      <c r="H660" s="4">
        <f t="shared" si="43"/>
        <v>-80000</v>
      </c>
    </row>
    <row r="661" spans="2:8" x14ac:dyDescent="0.35">
      <c r="B661" s="5">
        <v>13108.737449262979</v>
      </c>
      <c r="C661" s="6">
        <f t="shared" si="40"/>
        <v>300000</v>
      </c>
      <c r="D661" s="5">
        <f t="shared" si="41"/>
        <v>417611.62144840846</v>
      </c>
      <c r="F661" s="4">
        <v>4541.9476912747577</v>
      </c>
      <c r="G661" s="4">
        <f t="shared" si="42"/>
        <v>227097.3845637379</v>
      </c>
      <c r="H661" s="4">
        <f t="shared" si="43"/>
        <v>-182063.66161076695</v>
      </c>
    </row>
    <row r="662" spans="2:8" x14ac:dyDescent="0.35">
      <c r="B662" s="5">
        <v>16934.842982268747</v>
      </c>
      <c r="C662" s="6">
        <f t="shared" si="40"/>
        <v>300000</v>
      </c>
      <c r="D662" s="5">
        <f t="shared" si="41"/>
        <v>550000</v>
      </c>
      <c r="F662" s="4">
        <v>7627.8267769402146</v>
      </c>
      <c r="G662" s="4">
        <f t="shared" si="42"/>
        <v>300000</v>
      </c>
      <c r="H662" s="4">
        <f t="shared" si="43"/>
        <v>-80000</v>
      </c>
    </row>
    <row r="663" spans="2:8" x14ac:dyDescent="0.35">
      <c r="B663" s="5">
        <v>15632.465590380565</v>
      </c>
      <c r="C663" s="6">
        <f t="shared" si="40"/>
        <v>300000</v>
      </c>
      <c r="D663" s="5">
        <f t="shared" si="41"/>
        <v>550000</v>
      </c>
      <c r="F663" s="4">
        <v>7260.8417004913481</v>
      </c>
      <c r="G663" s="4">
        <f t="shared" si="42"/>
        <v>300000</v>
      </c>
      <c r="H663" s="4">
        <f t="shared" si="43"/>
        <v>-80000</v>
      </c>
    </row>
    <row r="664" spans="2:8" x14ac:dyDescent="0.35">
      <c r="B664" s="5">
        <v>15133.182775353253</v>
      </c>
      <c r="C664" s="6">
        <f t="shared" si="40"/>
        <v>300000</v>
      </c>
      <c r="D664" s="5">
        <f t="shared" si="41"/>
        <v>550000</v>
      </c>
      <c r="F664" s="4">
        <v>7069.7958311716047</v>
      </c>
      <c r="G664" s="4">
        <f t="shared" si="42"/>
        <v>300000</v>
      </c>
      <c r="H664" s="4">
        <f t="shared" si="43"/>
        <v>-80000</v>
      </c>
    </row>
    <row r="665" spans="2:8" x14ac:dyDescent="0.35">
      <c r="B665" s="5">
        <v>13988.280892361217</v>
      </c>
      <c r="C665" s="6">
        <f t="shared" si="40"/>
        <v>300000</v>
      </c>
      <c r="D665" s="5">
        <f t="shared" si="41"/>
        <v>479179.66246528528</v>
      </c>
      <c r="F665" s="4">
        <v>7883.7244788964508</v>
      </c>
      <c r="G665" s="4">
        <f t="shared" si="42"/>
        <v>300000</v>
      </c>
      <c r="H665" s="4">
        <f t="shared" si="43"/>
        <v>-80000</v>
      </c>
    </row>
    <row r="666" spans="2:8" x14ac:dyDescent="0.35">
      <c r="B666" s="5">
        <v>15435.926389355143</v>
      </c>
      <c r="C666" s="6">
        <f t="shared" si="40"/>
        <v>300000</v>
      </c>
      <c r="D666" s="5">
        <f t="shared" si="41"/>
        <v>550000</v>
      </c>
      <c r="F666" s="4">
        <v>3124.3629261146884</v>
      </c>
      <c r="G666" s="4">
        <f t="shared" si="42"/>
        <v>156218.14630573441</v>
      </c>
      <c r="H666" s="4">
        <f t="shared" si="43"/>
        <v>-281294.59517197183</v>
      </c>
    </row>
    <row r="667" spans="2:8" x14ac:dyDescent="0.35">
      <c r="B667" s="5">
        <v>14298.806726279488</v>
      </c>
      <c r="C667" s="6">
        <f t="shared" si="40"/>
        <v>300000</v>
      </c>
      <c r="D667" s="5">
        <f t="shared" si="41"/>
        <v>500916.47083956422</v>
      </c>
      <c r="F667" s="4">
        <v>6637.6537369914859</v>
      </c>
      <c r="G667" s="4">
        <f t="shared" si="42"/>
        <v>300000</v>
      </c>
      <c r="H667" s="4">
        <f t="shared" si="43"/>
        <v>-80000</v>
      </c>
    </row>
    <row r="668" spans="2:8" x14ac:dyDescent="0.35">
      <c r="B668" s="5">
        <v>13861.781670583208</v>
      </c>
      <c r="C668" s="6">
        <f t="shared" si="40"/>
        <v>300000</v>
      </c>
      <c r="D668" s="5">
        <f t="shared" si="41"/>
        <v>470324.71694082464</v>
      </c>
      <c r="F668" s="4">
        <v>4043.8856166264841</v>
      </c>
      <c r="G668" s="4">
        <f t="shared" si="42"/>
        <v>202194.2808313242</v>
      </c>
      <c r="H668" s="4">
        <f t="shared" si="43"/>
        <v>-216928.00683614612</v>
      </c>
    </row>
    <row r="669" spans="2:8" x14ac:dyDescent="0.35">
      <c r="B669" s="5">
        <v>16909.970397045807</v>
      </c>
      <c r="C669" s="6">
        <f t="shared" si="40"/>
        <v>300000</v>
      </c>
      <c r="D669" s="5">
        <f t="shared" si="41"/>
        <v>550000</v>
      </c>
      <c r="F669" s="4">
        <v>3531.1746574297313</v>
      </c>
      <c r="G669" s="4">
        <f t="shared" si="42"/>
        <v>176558.73287148657</v>
      </c>
      <c r="H669" s="4">
        <f t="shared" si="43"/>
        <v>-252817.7739799188</v>
      </c>
    </row>
    <row r="670" spans="2:8" x14ac:dyDescent="0.35">
      <c r="B670" s="5">
        <v>14474.745933408612</v>
      </c>
      <c r="C670" s="6">
        <f t="shared" si="40"/>
        <v>300000</v>
      </c>
      <c r="D670" s="5">
        <f t="shared" si="41"/>
        <v>513232.21533860289</v>
      </c>
      <c r="F670" s="4">
        <v>5816.7058320871602</v>
      </c>
      <c r="G670" s="4">
        <f t="shared" si="42"/>
        <v>290835.291604358</v>
      </c>
      <c r="H670" s="4">
        <f t="shared" si="43"/>
        <v>-92830.591753898771</v>
      </c>
    </row>
    <row r="671" spans="2:8" x14ac:dyDescent="0.35">
      <c r="B671" s="5">
        <v>13389.049958800013</v>
      </c>
      <c r="C671" s="6">
        <f t="shared" si="40"/>
        <v>300000</v>
      </c>
      <c r="D671" s="5">
        <f t="shared" si="41"/>
        <v>437233.49711600086</v>
      </c>
      <c r="F671" s="4">
        <v>6618.884853663747</v>
      </c>
      <c r="G671" s="4">
        <f t="shared" si="42"/>
        <v>300000</v>
      </c>
      <c r="H671" s="4">
        <f t="shared" si="43"/>
        <v>-80000</v>
      </c>
    </row>
    <row r="672" spans="2:8" x14ac:dyDescent="0.35">
      <c r="B672" s="5">
        <v>14112.491225928527</v>
      </c>
      <c r="C672" s="6">
        <f t="shared" si="40"/>
        <v>300000</v>
      </c>
      <c r="D672" s="5">
        <f t="shared" si="41"/>
        <v>487874.3858149969</v>
      </c>
      <c r="F672" s="4">
        <v>4037.1715445417644</v>
      </c>
      <c r="G672" s="4">
        <f t="shared" si="42"/>
        <v>201858.57722708822</v>
      </c>
      <c r="H672" s="4">
        <f t="shared" si="43"/>
        <v>-217397.99188207649</v>
      </c>
    </row>
    <row r="673" spans="2:8" x14ac:dyDescent="0.35">
      <c r="B673" s="5">
        <v>15165.684987945189</v>
      </c>
      <c r="C673" s="6">
        <f t="shared" si="40"/>
        <v>300000</v>
      </c>
      <c r="D673" s="5">
        <f t="shared" si="41"/>
        <v>550000</v>
      </c>
      <c r="F673" s="4">
        <v>6406.4760277108062</v>
      </c>
      <c r="G673" s="4">
        <f t="shared" si="42"/>
        <v>300000</v>
      </c>
      <c r="H673" s="4">
        <f t="shared" si="43"/>
        <v>-80000</v>
      </c>
    </row>
    <row r="674" spans="2:8" x14ac:dyDescent="0.35">
      <c r="B674" s="5">
        <v>12967.589342936491</v>
      </c>
      <c r="C674" s="6">
        <f t="shared" si="40"/>
        <v>300000</v>
      </c>
      <c r="D674" s="5">
        <f t="shared" si="41"/>
        <v>407731.25400555436</v>
      </c>
      <c r="F674" s="4">
        <v>5629.3221839045382</v>
      </c>
      <c r="G674" s="4">
        <f t="shared" si="42"/>
        <v>281466.10919522692</v>
      </c>
      <c r="H674" s="4">
        <f t="shared" si="43"/>
        <v>-105947.44712668232</v>
      </c>
    </row>
    <row r="675" spans="2:8" x14ac:dyDescent="0.35">
      <c r="B675" s="5">
        <v>12280.159916989654</v>
      </c>
      <c r="C675" s="6">
        <f t="shared" si="40"/>
        <v>300000</v>
      </c>
      <c r="D675" s="5">
        <f t="shared" si="41"/>
        <v>359611.19418927585</v>
      </c>
      <c r="F675" s="4">
        <v>5860.1947080904565</v>
      </c>
      <c r="G675" s="4">
        <f t="shared" si="42"/>
        <v>293009.7354045228</v>
      </c>
      <c r="H675" s="4">
        <f t="shared" si="43"/>
        <v>-89786.370433668024</v>
      </c>
    </row>
    <row r="676" spans="2:8" x14ac:dyDescent="0.35">
      <c r="B676" s="5">
        <v>16877.773369548631</v>
      </c>
      <c r="C676" s="6">
        <f t="shared" si="40"/>
        <v>300000</v>
      </c>
      <c r="D676" s="5">
        <f t="shared" si="41"/>
        <v>550000</v>
      </c>
      <c r="F676" s="4">
        <v>3292.062135685293</v>
      </c>
      <c r="G676" s="4">
        <f t="shared" si="42"/>
        <v>164603.10678426464</v>
      </c>
      <c r="H676" s="4">
        <f t="shared" si="43"/>
        <v>-269555.65050202946</v>
      </c>
    </row>
    <row r="677" spans="2:8" x14ac:dyDescent="0.35">
      <c r="B677" s="5">
        <v>15907.284768211921</v>
      </c>
      <c r="C677" s="6">
        <f t="shared" si="40"/>
        <v>300000</v>
      </c>
      <c r="D677" s="5">
        <f t="shared" si="41"/>
        <v>550000</v>
      </c>
      <c r="F677" s="4">
        <v>3652.0279549546804</v>
      </c>
      <c r="G677" s="4">
        <f t="shared" si="42"/>
        <v>182601.39774773401</v>
      </c>
      <c r="H677" s="4">
        <f t="shared" si="43"/>
        <v>-244358.04315317239</v>
      </c>
    </row>
    <row r="678" spans="2:8" x14ac:dyDescent="0.35">
      <c r="B678" s="5">
        <v>16571.06234931486</v>
      </c>
      <c r="C678" s="6">
        <f t="shared" si="40"/>
        <v>300000</v>
      </c>
      <c r="D678" s="5">
        <f t="shared" si="41"/>
        <v>550000</v>
      </c>
      <c r="F678" s="4">
        <v>6019.0435499130226</v>
      </c>
      <c r="G678" s="4">
        <f t="shared" si="42"/>
        <v>300000</v>
      </c>
      <c r="H678" s="4">
        <f t="shared" si="43"/>
        <v>-80000</v>
      </c>
    </row>
    <row r="679" spans="2:8" x14ac:dyDescent="0.35">
      <c r="B679" s="5">
        <v>15167.973876155887</v>
      </c>
      <c r="C679" s="6">
        <f t="shared" si="40"/>
        <v>300000</v>
      </c>
      <c r="D679" s="5">
        <f t="shared" si="41"/>
        <v>550000</v>
      </c>
      <c r="F679" s="4">
        <v>6836.6344187749874</v>
      </c>
      <c r="G679" s="4">
        <f t="shared" si="42"/>
        <v>300000</v>
      </c>
      <c r="H679" s="4">
        <f t="shared" si="43"/>
        <v>-80000</v>
      </c>
    </row>
    <row r="680" spans="2:8" x14ac:dyDescent="0.35">
      <c r="B680" s="5">
        <v>13576.891384624774</v>
      </c>
      <c r="C680" s="6">
        <f t="shared" si="40"/>
        <v>300000</v>
      </c>
      <c r="D680" s="5">
        <f t="shared" si="41"/>
        <v>450382.39692373422</v>
      </c>
      <c r="F680" s="4">
        <v>3351.1154515213475</v>
      </c>
      <c r="G680" s="4">
        <f t="shared" si="42"/>
        <v>167555.77257606736</v>
      </c>
      <c r="H680" s="4">
        <f t="shared" si="43"/>
        <v>-265421.91839350568</v>
      </c>
    </row>
    <row r="681" spans="2:8" x14ac:dyDescent="0.35">
      <c r="B681" s="5">
        <v>15357.18863490707</v>
      </c>
      <c r="C681" s="6">
        <f t="shared" si="40"/>
        <v>300000</v>
      </c>
      <c r="D681" s="5">
        <f t="shared" si="41"/>
        <v>550000</v>
      </c>
      <c r="F681" s="4">
        <v>6239.5397808771022</v>
      </c>
      <c r="G681" s="4">
        <f t="shared" si="42"/>
        <v>300000</v>
      </c>
      <c r="H681" s="4">
        <f t="shared" si="43"/>
        <v>-80000</v>
      </c>
    </row>
    <row r="682" spans="2:8" x14ac:dyDescent="0.35">
      <c r="B682" s="5">
        <v>12674.306466872158</v>
      </c>
      <c r="C682" s="6">
        <f t="shared" si="40"/>
        <v>300000</v>
      </c>
      <c r="D682" s="5">
        <f t="shared" si="41"/>
        <v>387201.4526810511</v>
      </c>
      <c r="F682" s="4">
        <v>4777.3979918820769</v>
      </c>
      <c r="G682" s="4">
        <f t="shared" si="42"/>
        <v>238869.89959410386</v>
      </c>
      <c r="H682" s="4">
        <f t="shared" si="43"/>
        <v>-165582.14056825463</v>
      </c>
    </row>
    <row r="683" spans="2:8" x14ac:dyDescent="0.35">
      <c r="B683" s="5">
        <v>14211.523789178136</v>
      </c>
      <c r="C683" s="6">
        <f t="shared" si="40"/>
        <v>300000</v>
      </c>
      <c r="D683" s="5">
        <f t="shared" si="41"/>
        <v>494806.66524246952</v>
      </c>
      <c r="F683" s="4">
        <v>6555.864131595813</v>
      </c>
      <c r="G683" s="4">
        <f t="shared" si="42"/>
        <v>300000</v>
      </c>
      <c r="H683" s="4">
        <f t="shared" si="43"/>
        <v>-80000</v>
      </c>
    </row>
    <row r="684" spans="2:8" x14ac:dyDescent="0.35">
      <c r="B684" s="5">
        <v>12246.131778923916</v>
      </c>
      <c r="C684" s="6">
        <f t="shared" si="40"/>
        <v>300000</v>
      </c>
      <c r="D684" s="5">
        <f t="shared" si="41"/>
        <v>357229.22452467412</v>
      </c>
      <c r="F684" s="4">
        <v>4540.4217658009584</v>
      </c>
      <c r="G684" s="4">
        <f t="shared" si="42"/>
        <v>227021.08829004792</v>
      </c>
      <c r="H684" s="4">
        <f t="shared" si="43"/>
        <v>-182170.47639393294</v>
      </c>
    </row>
    <row r="685" spans="2:8" x14ac:dyDescent="0.35">
      <c r="B685" s="5">
        <v>13364.635151219214</v>
      </c>
      <c r="C685" s="6">
        <f t="shared" si="40"/>
        <v>300000</v>
      </c>
      <c r="D685" s="5">
        <f t="shared" si="41"/>
        <v>435524.46058534493</v>
      </c>
      <c r="F685" s="4">
        <v>6639.9426252021849</v>
      </c>
      <c r="G685" s="4">
        <f t="shared" si="42"/>
        <v>300000</v>
      </c>
      <c r="H685" s="4">
        <f t="shared" si="43"/>
        <v>-80000</v>
      </c>
    </row>
    <row r="686" spans="2:8" x14ac:dyDescent="0.35">
      <c r="B686" s="5">
        <v>12357.066560869167</v>
      </c>
      <c r="C686" s="6">
        <f t="shared" si="40"/>
        <v>300000</v>
      </c>
      <c r="D686" s="5">
        <f t="shared" si="41"/>
        <v>364994.65926084167</v>
      </c>
      <c r="F686" s="4">
        <v>6642.0789208655042</v>
      </c>
      <c r="G686" s="4">
        <f t="shared" si="42"/>
        <v>300000</v>
      </c>
      <c r="H686" s="4">
        <f t="shared" si="43"/>
        <v>-80000</v>
      </c>
    </row>
    <row r="687" spans="2:8" x14ac:dyDescent="0.35">
      <c r="B687" s="5">
        <v>16790.79561754204</v>
      </c>
      <c r="C687" s="6">
        <f t="shared" si="40"/>
        <v>300000</v>
      </c>
      <c r="D687" s="5">
        <f t="shared" si="41"/>
        <v>550000</v>
      </c>
      <c r="F687" s="4">
        <v>6852.6566362498852</v>
      </c>
      <c r="G687" s="4">
        <f t="shared" si="42"/>
        <v>300000</v>
      </c>
      <c r="H687" s="4">
        <f t="shared" si="43"/>
        <v>-80000</v>
      </c>
    </row>
    <row r="688" spans="2:8" x14ac:dyDescent="0.35">
      <c r="B688" s="5">
        <v>16393.902401806696</v>
      </c>
      <c r="C688" s="6">
        <f t="shared" si="40"/>
        <v>300000</v>
      </c>
      <c r="D688" s="5">
        <f t="shared" si="41"/>
        <v>550000</v>
      </c>
      <c r="F688" s="4">
        <v>5714.4688253425702</v>
      </c>
      <c r="G688" s="4">
        <f t="shared" si="42"/>
        <v>285723.44126712851</v>
      </c>
      <c r="H688" s="4">
        <f t="shared" si="43"/>
        <v>-99987.182226020086</v>
      </c>
    </row>
    <row r="689" spans="2:8" x14ac:dyDescent="0.35">
      <c r="B689" s="5">
        <v>14964.415417950988</v>
      </c>
      <c r="C689" s="6">
        <f t="shared" si="40"/>
        <v>300000</v>
      </c>
      <c r="D689" s="5">
        <f t="shared" si="41"/>
        <v>547509.07925656915</v>
      </c>
      <c r="F689" s="4">
        <v>7716.3304544206057</v>
      </c>
      <c r="G689" s="4">
        <f t="shared" si="42"/>
        <v>300000</v>
      </c>
      <c r="H689" s="4">
        <f t="shared" si="43"/>
        <v>-80000</v>
      </c>
    </row>
    <row r="690" spans="2:8" x14ac:dyDescent="0.35">
      <c r="B690" s="5">
        <v>16338.816492202521</v>
      </c>
      <c r="C690" s="6">
        <f t="shared" si="40"/>
        <v>300000</v>
      </c>
      <c r="D690" s="5">
        <f t="shared" si="41"/>
        <v>550000</v>
      </c>
      <c r="F690" s="4">
        <v>7244.8194830164493</v>
      </c>
      <c r="G690" s="4">
        <f t="shared" si="42"/>
        <v>300000</v>
      </c>
      <c r="H690" s="4">
        <f t="shared" si="43"/>
        <v>-80000</v>
      </c>
    </row>
    <row r="691" spans="2:8" x14ac:dyDescent="0.35">
      <c r="B691" s="5">
        <v>15779.259620960112</v>
      </c>
      <c r="C691" s="6">
        <f t="shared" si="40"/>
        <v>300000</v>
      </c>
      <c r="D691" s="5">
        <f t="shared" si="41"/>
        <v>550000</v>
      </c>
      <c r="F691" s="4">
        <v>5667.7755058442945</v>
      </c>
      <c r="G691" s="4">
        <f t="shared" si="42"/>
        <v>283388.7752922147</v>
      </c>
      <c r="H691" s="4">
        <f t="shared" si="43"/>
        <v>-103255.71459089941</v>
      </c>
    </row>
    <row r="692" spans="2:8" x14ac:dyDescent="0.35">
      <c r="B692" s="5">
        <v>14802.819910275583</v>
      </c>
      <c r="C692" s="6">
        <f t="shared" si="40"/>
        <v>300000</v>
      </c>
      <c r="D692" s="5">
        <f t="shared" si="41"/>
        <v>536197.39371929073</v>
      </c>
      <c r="F692" s="4">
        <v>6041.0168767357409</v>
      </c>
      <c r="G692" s="4">
        <f t="shared" si="42"/>
        <v>300000</v>
      </c>
      <c r="H692" s="4">
        <f t="shared" si="43"/>
        <v>-80000</v>
      </c>
    </row>
    <row r="693" spans="2:8" x14ac:dyDescent="0.35">
      <c r="B693" s="5">
        <v>14092.349009674368</v>
      </c>
      <c r="C693" s="6">
        <f t="shared" si="40"/>
        <v>300000</v>
      </c>
      <c r="D693" s="5">
        <f t="shared" si="41"/>
        <v>486464.43067720579</v>
      </c>
      <c r="F693" s="4">
        <v>5493.0570390942103</v>
      </c>
      <c r="G693" s="4">
        <f t="shared" si="42"/>
        <v>274652.8519547105</v>
      </c>
      <c r="H693" s="4">
        <f t="shared" si="43"/>
        <v>-115486.00726340531</v>
      </c>
    </row>
    <row r="694" spans="2:8" x14ac:dyDescent="0.35">
      <c r="B694" s="5">
        <v>14453.993346964933</v>
      </c>
      <c r="C694" s="6">
        <f t="shared" si="40"/>
        <v>300000</v>
      </c>
      <c r="D694" s="5">
        <f t="shared" si="41"/>
        <v>511779.53428754536</v>
      </c>
      <c r="F694" s="4">
        <v>5429.2733542893766</v>
      </c>
      <c r="G694" s="4">
        <f t="shared" si="42"/>
        <v>271463.66771446884</v>
      </c>
      <c r="H694" s="4">
        <f t="shared" si="43"/>
        <v>-119950.86519974365</v>
      </c>
    </row>
    <row r="695" spans="2:8" x14ac:dyDescent="0.35">
      <c r="B695" s="5">
        <v>14242.957853938413</v>
      </c>
      <c r="C695" s="6">
        <f t="shared" si="40"/>
        <v>300000</v>
      </c>
      <c r="D695" s="5">
        <f t="shared" si="41"/>
        <v>497007.04977568891</v>
      </c>
      <c r="F695" s="4">
        <v>3221.1066011535995</v>
      </c>
      <c r="G695" s="4">
        <f t="shared" si="42"/>
        <v>161055.33005767997</v>
      </c>
      <c r="H695" s="4">
        <f t="shared" si="43"/>
        <v>-274522.53791924805</v>
      </c>
    </row>
    <row r="696" spans="2:8" x14ac:dyDescent="0.35">
      <c r="B696" s="5">
        <v>13062.959685048982</v>
      </c>
      <c r="C696" s="6">
        <f t="shared" si="40"/>
        <v>300000</v>
      </c>
      <c r="D696" s="5">
        <f t="shared" si="41"/>
        <v>414407.17795342871</v>
      </c>
      <c r="F696" s="4">
        <v>7108.8595233008818</v>
      </c>
      <c r="G696" s="4">
        <f t="shared" si="42"/>
        <v>300000</v>
      </c>
      <c r="H696" s="4">
        <f t="shared" si="43"/>
        <v>-80000</v>
      </c>
    </row>
    <row r="697" spans="2:8" x14ac:dyDescent="0.35">
      <c r="B697" s="5">
        <v>12117.03848384045</v>
      </c>
      <c r="C697" s="6">
        <f t="shared" si="40"/>
        <v>300000</v>
      </c>
      <c r="D697" s="5">
        <f t="shared" si="41"/>
        <v>348192.6938688315</v>
      </c>
      <c r="F697" s="4">
        <v>5957.8539384136475</v>
      </c>
      <c r="G697" s="4">
        <f t="shared" si="42"/>
        <v>297892.69692068239</v>
      </c>
      <c r="H697" s="4">
        <f t="shared" si="43"/>
        <v>-82950.224311044673</v>
      </c>
    </row>
    <row r="698" spans="2:8" x14ac:dyDescent="0.35">
      <c r="B698" s="5">
        <v>15685.720389416181</v>
      </c>
      <c r="C698" s="6">
        <f t="shared" si="40"/>
        <v>300000</v>
      </c>
      <c r="D698" s="5">
        <f t="shared" si="41"/>
        <v>550000</v>
      </c>
      <c r="F698" s="4">
        <v>3468.4591204565568</v>
      </c>
      <c r="G698" s="4">
        <f t="shared" si="42"/>
        <v>173422.95602282783</v>
      </c>
      <c r="H698" s="4">
        <f t="shared" si="43"/>
        <v>-257207.86156804103</v>
      </c>
    </row>
    <row r="699" spans="2:8" x14ac:dyDescent="0.35">
      <c r="B699" s="5">
        <v>13468.245490890225</v>
      </c>
      <c r="C699" s="6">
        <f t="shared" si="40"/>
        <v>300000</v>
      </c>
      <c r="D699" s="5">
        <f t="shared" si="41"/>
        <v>442777.18436231581</v>
      </c>
      <c r="F699" s="4">
        <v>4483.1995605334632</v>
      </c>
      <c r="G699" s="4">
        <f t="shared" si="42"/>
        <v>224159.97802667317</v>
      </c>
      <c r="H699" s="4">
        <f t="shared" si="43"/>
        <v>-186176.03076265758</v>
      </c>
    </row>
    <row r="700" spans="2:8" x14ac:dyDescent="0.35">
      <c r="B700" s="5">
        <v>15111.209448530533</v>
      </c>
      <c r="C700" s="6">
        <f t="shared" si="40"/>
        <v>300000</v>
      </c>
      <c r="D700" s="5">
        <f t="shared" si="41"/>
        <v>550000</v>
      </c>
      <c r="F700" s="4">
        <v>6138.9812921536914</v>
      </c>
      <c r="G700" s="4">
        <f t="shared" si="42"/>
        <v>300000</v>
      </c>
      <c r="H700" s="4">
        <f t="shared" si="43"/>
        <v>-80000</v>
      </c>
    </row>
    <row r="701" spans="2:8" x14ac:dyDescent="0.35">
      <c r="B701" s="5">
        <v>16340.952787865841</v>
      </c>
      <c r="C701" s="6">
        <f t="shared" si="40"/>
        <v>300000</v>
      </c>
      <c r="D701" s="5">
        <f t="shared" si="41"/>
        <v>550000</v>
      </c>
      <c r="F701" s="4">
        <v>3554.2161320841092</v>
      </c>
      <c r="G701" s="4">
        <f t="shared" si="42"/>
        <v>177710.80660420546</v>
      </c>
      <c r="H701" s="4">
        <f t="shared" si="43"/>
        <v>-251204.87075411234</v>
      </c>
    </row>
    <row r="702" spans="2:8" x14ac:dyDescent="0.35">
      <c r="B702" s="5">
        <v>13285.287026581622</v>
      </c>
      <c r="C702" s="6">
        <f t="shared" si="40"/>
        <v>300000</v>
      </c>
      <c r="D702" s="5">
        <f t="shared" si="41"/>
        <v>429970.09186071355</v>
      </c>
      <c r="F702" s="4">
        <v>7214.911343729972</v>
      </c>
      <c r="G702" s="4">
        <f t="shared" si="42"/>
        <v>300000</v>
      </c>
      <c r="H702" s="4">
        <f t="shared" si="43"/>
        <v>-80000</v>
      </c>
    </row>
    <row r="703" spans="2:8" x14ac:dyDescent="0.35">
      <c r="B703" s="5">
        <v>15725.547044282357</v>
      </c>
      <c r="C703" s="6">
        <f t="shared" si="40"/>
        <v>300000</v>
      </c>
      <c r="D703" s="5">
        <f t="shared" si="41"/>
        <v>550000</v>
      </c>
      <c r="F703" s="4">
        <v>6850.520340586565</v>
      </c>
      <c r="G703" s="4">
        <f t="shared" si="42"/>
        <v>300000</v>
      </c>
      <c r="H703" s="4">
        <f t="shared" si="43"/>
        <v>-80000</v>
      </c>
    </row>
    <row r="704" spans="2:8" x14ac:dyDescent="0.35">
      <c r="B704" s="5">
        <v>15564.409314249093</v>
      </c>
      <c r="C704" s="6">
        <f t="shared" si="40"/>
        <v>300000</v>
      </c>
      <c r="D704" s="5">
        <f t="shared" si="41"/>
        <v>550000</v>
      </c>
      <c r="F704" s="4">
        <v>3580.0042725913268</v>
      </c>
      <c r="G704" s="4">
        <f t="shared" si="42"/>
        <v>179000.21362956634</v>
      </c>
      <c r="H704" s="4">
        <f t="shared" si="43"/>
        <v>-249399.70091860712</v>
      </c>
    </row>
    <row r="705" spans="2:8" x14ac:dyDescent="0.35">
      <c r="B705" s="5">
        <v>16129.00173955504</v>
      </c>
      <c r="C705" s="6">
        <f t="shared" si="40"/>
        <v>300000</v>
      </c>
      <c r="D705" s="5">
        <f t="shared" si="41"/>
        <v>550000</v>
      </c>
      <c r="F705" s="4">
        <v>6518.4789574877159</v>
      </c>
      <c r="G705" s="4">
        <f t="shared" si="42"/>
        <v>300000</v>
      </c>
      <c r="H705" s="4">
        <f t="shared" si="43"/>
        <v>-80000</v>
      </c>
    </row>
    <row r="706" spans="2:8" x14ac:dyDescent="0.35">
      <c r="B706" s="5">
        <v>12011.291848506118</v>
      </c>
      <c r="C706" s="6">
        <f t="shared" si="40"/>
        <v>300000</v>
      </c>
      <c r="D706" s="5">
        <f t="shared" si="41"/>
        <v>340790.42939542828</v>
      </c>
      <c r="F706" s="4">
        <v>5712.0273445844905</v>
      </c>
      <c r="G706" s="4">
        <f t="shared" si="42"/>
        <v>285601.36722922453</v>
      </c>
      <c r="H706" s="4">
        <f t="shared" si="43"/>
        <v>-100158.08587908564</v>
      </c>
    </row>
    <row r="707" spans="2:8" x14ac:dyDescent="0.35">
      <c r="B707" s="5">
        <v>15676.564836573381</v>
      </c>
      <c r="C707" s="6">
        <f t="shared" si="40"/>
        <v>300000</v>
      </c>
      <c r="D707" s="5">
        <f t="shared" si="41"/>
        <v>550000</v>
      </c>
      <c r="F707" s="4">
        <v>4434.0647602771078</v>
      </c>
      <c r="G707" s="4">
        <f t="shared" si="42"/>
        <v>221703.23801385539</v>
      </c>
      <c r="H707" s="4">
        <f t="shared" si="43"/>
        <v>-189615.46678060247</v>
      </c>
    </row>
    <row r="708" spans="2:8" x14ac:dyDescent="0.35">
      <c r="B708" s="5">
        <v>16123.35581530198</v>
      </c>
      <c r="C708" s="6">
        <f t="shared" si="40"/>
        <v>300000</v>
      </c>
      <c r="D708" s="5">
        <f t="shared" si="41"/>
        <v>550000</v>
      </c>
      <c r="F708" s="4">
        <v>5870.5710013122953</v>
      </c>
      <c r="G708" s="4">
        <f t="shared" si="42"/>
        <v>293528.55006561475</v>
      </c>
      <c r="H708" s="4">
        <f t="shared" si="43"/>
        <v>-89060.029908139317</v>
      </c>
    </row>
    <row r="709" spans="2:8" x14ac:dyDescent="0.35">
      <c r="B709" s="5">
        <v>16820.856349375896</v>
      </c>
      <c r="C709" s="6">
        <f t="shared" si="40"/>
        <v>300000</v>
      </c>
      <c r="D709" s="5">
        <f t="shared" si="41"/>
        <v>550000</v>
      </c>
      <c r="F709" s="4">
        <v>6718.9855647450177</v>
      </c>
      <c r="G709" s="4">
        <f t="shared" si="42"/>
        <v>300000</v>
      </c>
      <c r="H709" s="4">
        <f t="shared" si="43"/>
        <v>-80000</v>
      </c>
    </row>
    <row r="710" spans="2:8" x14ac:dyDescent="0.35">
      <c r="B710" s="5">
        <v>12019.837031159399</v>
      </c>
      <c r="C710" s="6">
        <f t="shared" si="40"/>
        <v>300000</v>
      </c>
      <c r="D710" s="5">
        <f t="shared" si="41"/>
        <v>341388.5921811579</v>
      </c>
      <c r="F710" s="4">
        <v>7302.1942808313242</v>
      </c>
      <c r="G710" s="4">
        <f t="shared" si="42"/>
        <v>300000</v>
      </c>
      <c r="H710" s="4">
        <f t="shared" si="43"/>
        <v>-80000</v>
      </c>
    </row>
    <row r="711" spans="2:8" x14ac:dyDescent="0.35">
      <c r="B711" s="5">
        <v>16829.859309671316</v>
      </c>
      <c r="C711" s="6">
        <f t="shared" si="40"/>
        <v>300000</v>
      </c>
      <c r="D711" s="5">
        <f t="shared" si="41"/>
        <v>550000</v>
      </c>
      <c r="F711" s="4">
        <v>7865.1081881160926</v>
      </c>
      <c r="G711" s="4">
        <f t="shared" si="42"/>
        <v>300000</v>
      </c>
      <c r="H711" s="4">
        <f t="shared" si="43"/>
        <v>-80000</v>
      </c>
    </row>
    <row r="712" spans="2:8" x14ac:dyDescent="0.35">
      <c r="B712" s="5">
        <v>16830.774864955594</v>
      </c>
      <c r="C712" s="6">
        <f t="shared" si="40"/>
        <v>300000</v>
      </c>
      <c r="D712" s="5">
        <f t="shared" si="41"/>
        <v>550000</v>
      </c>
      <c r="F712" s="4">
        <v>6648.0300302133246</v>
      </c>
      <c r="G712" s="4">
        <f t="shared" si="42"/>
        <v>300000</v>
      </c>
      <c r="H712" s="4">
        <f t="shared" si="43"/>
        <v>-80000</v>
      </c>
    </row>
    <row r="713" spans="2:8" x14ac:dyDescent="0.35">
      <c r="B713" s="5">
        <v>14081.20975371563</v>
      </c>
      <c r="C713" s="6">
        <f t="shared" si="40"/>
        <v>300000</v>
      </c>
      <c r="D713" s="5">
        <f t="shared" si="41"/>
        <v>485684.68276009406</v>
      </c>
      <c r="F713" s="4">
        <v>4154.2100283822137</v>
      </c>
      <c r="G713" s="4">
        <f t="shared" si="42"/>
        <v>207710.50141911069</v>
      </c>
      <c r="H713" s="4">
        <f t="shared" si="43"/>
        <v>-209205.29801324505</v>
      </c>
    </row>
    <row r="714" spans="2:8" x14ac:dyDescent="0.35">
      <c r="B714" s="5">
        <v>16436.170537430953</v>
      </c>
      <c r="C714" s="6">
        <f t="shared" si="40"/>
        <v>300000</v>
      </c>
      <c r="D714" s="5">
        <f t="shared" si="41"/>
        <v>550000</v>
      </c>
      <c r="F714" s="4">
        <v>6757.1337015900135</v>
      </c>
      <c r="G714" s="4">
        <f t="shared" si="42"/>
        <v>300000</v>
      </c>
      <c r="H714" s="4">
        <f t="shared" si="43"/>
        <v>-80000</v>
      </c>
    </row>
    <row r="715" spans="2:8" x14ac:dyDescent="0.35">
      <c r="B715" s="5">
        <v>16951.933347575305</v>
      </c>
      <c r="C715" s="6">
        <f t="shared" si="40"/>
        <v>300000</v>
      </c>
      <c r="D715" s="5">
        <f t="shared" si="41"/>
        <v>550000</v>
      </c>
      <c r="F715" s="4">
        <v>6022.8583635975219</v>
      </c>
      <c r="G715" s="4">
        <f t="shared" si="42"/>
        <v>300000</v>
      </c>
      <c r="H715" s="4">
        <f t="shared" si="43"/>
        <v>-80000</v>
      </c>
    </row>
    <row r="716" spans="2:8" x14ac:dyDescent="0.35">
      <c r="B716" s="5">
        <v>15464.308603167821</v>
      </c>
      <c r="C716" s="6">
        <f t="shared" ref="C716:C779" si="44">50*MIN(B716,6000)</f>
        <v>300000</v>
      </c>
      <c r="D716" s="5">
        <f t="shared" ref="D716:D779" si="45">70*MIN(B716,15000)-500000</f>
        <v>550000</v>
      </c>
      <c r="F716" s="4">
        <v>7186.2239448225346</v>
      </c>
      <c r="G716" s="4">
        <f t="shared" ref="G716:G779" si="46">50*MIN(F716,6000)</f>
        <v>300000</v>
      </c>
      <c r="H716" s="4">
        <f t="shared" ref="H716:H779" si="47">70*MIN(F716,6000)-500000</f>
        <v>-80000</v>
      </c>
    </row>
    <row r="717" spans="2:8" x14ac:dyDescent="0.35">
      <c r="B717" s="5">
        <v>13847.590563676869</v>
      </c>
      <c r="C717" s="6">
        <f t="shared" si="44"/>
        <v>300000</v>
      </c>
      <c r="D717" s="5">
        <f t="shared" si="45"/>
        <v>469331.33945738082</v>
      </c>
      <c r="F717" s="4">
        <v>3765.5568102053894</v>
      </c>
      <c r="G717" s="4">
        <f t="shared" si="46"/>
        <v>188277.84051026948</v>
      </c>
      <c r="H717" s="4">
        <f t="shared" si="47"/>
        <v>-236411.02328562277</v>
      </c>
    </row>
    <row r="718" spans="2:8" x14ac:dyDescent="0.35">
      <c r="B718" s="5">
        <v>12137.791070284127</v>
      </c>
      <c r="C718" s="6">
        <f t="shared" si="44"/>
        <v>300000</v>
      </c>
      <c r="D718" s="5">
        <f t="shared" si="45"/>
        <v>349645.37491988891</v>
      </c>
      <c r="F718" s="4">
        <v>5467.8792687765126</v>
      </c>
      <c r="G718" s="4">
        <f t="shared" si="46"/>
        <v>273393.96343882562</v>
      </c>
      <c r="H718" s="4">
        <f t="shared" si="47"/>
        <v>-117248.45118564414</v>
      </c>
    </row>
    <row r="719" spans="2:8" x14ac:dyDescent="0.35">
      <c r="B719" s="5">
        <v>13838.740195928831</v>
      </c>
      <c r="C719" s="6">
        <f t="shared" si="44"/>
        <v>300000</v>
      </c>
      <c r="D719" s="5">
        <f t="shared" si="45"/>
        <v>468711.81371501822</v>
      </c>
      <c r="F719" s="4">
        <v>3595.1109347819452</v>
      </c>
      <c r="G719" s="4">
        <f t="shared" si="46"/>
        <v>179755.54673909725</v>
      </c>
      <c r="H719" s="4">
        <f t="shared" si="47"/>
        <v>-248342.23456526385</v>
      </c>
    </row>
    <row r="720" spans="2:8" x14ac:dyDescent="0.35">
      <c r="B720" s="5">
        <v>15845.027008880887</v>
      </c>
      <c r="C720" s="6">
        <f t="shared" si="44"/>
        <v>300000</v>
      </c>
      <c r="D720" s="5">
        <f t="shared" si="45"/>
        <v>550000</v>
      </c>
      <c r="F720" s="4">
        <v>4342.3566393017363</v>
      </c>
      <c r="G720" s="4">
        <f t="shared" si="46"/>
        <v>217117.83196508681</v>
      </c>
      <c r="H720" s="4">
        <f t="shared" si="47"/>
        <v>-196035.03524887847</v>
      </c>
    </row>
    <row r="721" spans="2:8" x14ac:dyDescent="0.35">
      <c r="B721" s="5">
        <v>15528.397473067416</v>
      </c>
      <c r="C721" s="6">
        <f t="shared" si="44"/>
        <v>300000</v>
      </c>
      <c r="D721" s="5">
        <f t="shared" si="45"/>
        <v>550000</v>
      </c>
      <c r="F721" s="4">
        <v>4718.4972685934017</v>
      </c>
      <c r="G721" s="4">
        <f t="shared" si="46"/>
        <v>235924.86342967008</v>
      </c>
      <c r="H721" s="4">
        <f t="shared" si="47"/>
        <v>-169705.19119846186</v>
      </c>
    </row>
    <row r="722" spans="2:8" x14ac:dyDescent="0.35">
      <c r="B722" s="5">
        <v>15784.752952665793</v>
      </c>
      <c r="C722" s="6">
        <f t="shared" si="44"/>
        <v>300000</v>
      </c>
      <c r="D722" s="5">
        <f t="shared" si="45"/>
        <v>550000</v>
      </c>
      <c r="F722" s="4">
        <v>4220.1300088503676</v>
      </c>
      <c r="G722" s="4">
        <f t="shared" si="46"/>
        <v>211006.50044251839</v>
      </c>
      <c r="H722" s="4">
        <f t="shared" si="47"/>
        <v>-204590.89938047429</v>
      </c>
    </row>
    <row r="723" spans="2:8" x14ac:dyDescent="0.35">
      <c r="B723" s="5">
        <v>15356.120487075412</v>
      </c>
      <c r="C723" s="6">
        <f t="shared" si="44"/>
        <v>300000</v>
      </c>
      <c r="D723" s="5">
        <f t="shared" si="45"/>
        <v>550000</v>
      </c>
      <c r="F723" s="4">
        <v>5873.012482070375</v>
      </c>
      <c r="G723" s="4">
        <f t="shared" si="46"/>
        <v>293650.62410351873</v>
      </c>
      <c r="H723" s="4">
        <f t="shared" si="47"/>
        <v>-88889.126255073759</v>
      </c>
    </row>
    <row r="724" spans="2:8" x14ac:dyDescent="0.35">
      <c r="B724" s="5">
        <v>13343.272194586016</v>
      </c>
      <c r="C724" s="6">
        <f t="shared" si="44"/>
        <v>300000</v>
      </c>
      <c r="D724" s="5">
        <f t="shared" si="45"/>
        <v>434029.0536210211</v>
      </c>
      <c r="F724" s="4">
        <v>6796.8077639088106</v>
      </c>
      <c r="G724" s="4">
        <f t="shared" si="46"/>
        <v>300000</v>
      </c>
      <c r="H724" s="4">
        <f t="shared" si="47"/>
        <v>-80000</v>
      </c>
    </row>
    <row r="725" spans="2:8" x14ac:dyDescent="0.35">
      <c r="B725" s="5">
        <v>13610.614337595751</v>
      </c>
      <c r="C725" s="6">
        <f t="shared" si="44"/>
        <v>300000</v>
      </c>
      <c r="D725" s="5">
        <f t="shared" si="45"/>
        <v>452743.00363170251</v>
      </c>
      <c r="F725" s="4">
        <v>4814.1727958006531</v>
      </c>
      <c r="G725" s="4">
        <f t="shared" si="46"/>
        <v>240708.63979003267</v>
      </c>
      <c r="H725" s="4">
        <f t="shared" si="47"/>
        <v>-163007.90429395426</v>
      </c>
    </row>
    <row r="726" spans="2:8" x14ac:dyDescent="0.35">
      <c r="B726" s="5">
        <v>14621.387371440778</v>
      </c>
      <c r="C726" s="6">
        <f t="shared" si="44"/>
        <v>300000</v>
      </c>
      <c r="D726" s="5">
        <f t="shared" si="45"/>
        <v>523497.11600085453</v>
      </c>
      <c r="F726" s="4">
        <v>5590.8688619647819</v>
      </c>
      <c r="G726" s="4">
        <f t="shared" si="46"/>
        <v>279543.44309823908</v>
      </c>
      <c r="H726" s="4">
        <f t="shared" si="47"/>
        <v>-108639.17966246529</v>
      </c>
    </row>
    <row r="727" spans="2:8" x14ac:dyDescent="0.35">
      <c r="B727" s="5">
        <v>15152.56202887051</v>
      </c>
      <c r="C727" s="6">
        <f t="shared" si="44"/>
        <v>300000</v>
      </c>
      <c r="D727" s="5">
        <f t="shared" si="45"/>
        <v>550000</v>
      </c>
      <c r="F727" s="4">
        <v>4689.1994994964443</v>
      </c>
      <c r="G727" s="4">
        <f t="shared" si="46"/>
        <v>234459.97497482222</v>
      </c>
      <c r="H727" s="4">
        <f t="shared" si="47"/>
        <v>-171756.0350352489</v>
      </c>
    </row>
    <row r="728" spans="2:8" x14ac:dyDescent="0.35">
      <c r="B728" s="5">
        <v>13363.567003387554</v>
      </c>
      <c r="C728" s="6">
        <f t="shared" si="44"/>
        <v>300000</v>
      </c>
      <c r="D728" s="5">
        <f t="shared" si="45"/>
        <v>435449.69023712876</v>
      </c>
      <c r="F728" s="4">
        <v>7862.056337168493</v>
      </c>
      <c r="G728" s="4">
        <f t="shared" si="46"/>
        <v>300000</v>
      </c>
      <c r="H728" s="4">
        <f t="shared" si="47"/>
        <v>-80000</v>
      </c>
    </row>
    <row r="729" spans="2:8" x14ac:dyDescent="0.35">
      <c r="B729" s="5">
        <v>15330.790124210334</v>
      </c>
      <c r="C729" s="6">
        <f t="shared" si="44"/>
        <v>300000</v>
      </c>
      <c r="D729" s="5">
        <f t="shared" si="45"/>
        <v>550000</v>
      </c>
      <c r="F729" s="4">
        <v>5180.7000946073795</v>
      </c>
      <c r="G729" s="4">
        <f t="shared" si="46"/>
        <v>259035.00473036896</v>
      </c>
      <c r="H729" s="4">
        <f t="shared" si="47"/>
        <v>-137350.99337748345</v>
      </c>
    </row>
    <row r="730" spans="2:8" x14ac:dyDescent="0.35">
      <c r="B730" s="5">
        <v>14088.991973632008</v>
      </c>
      <c r="C730" s="6">
        <f t="shared" si="44"/>
        <v>300000</v>
      </c>
      <c r="D730" s="5">
        <f t="shared" si="45"/>
        <v>486229.4381542406</v>
      </c>
      <c r="F730" s="4">
        <v>5493.6674092837311</v>
      </c>
      <c r="G730" s="4">
        <f t="shared" si="46"/>
        <v>274683.37046418653</v>
      </c>
      <c r="H730" s="4">
        <f t="shared" si="47"/>
        <v>-115443.28135013883</v>
      </c>
    </row>
    <row r="731" spans="2:8" x14ac:dyDescent="0.35">
      <c r="B731" s="5">
        <v>12953.245643482773</v>
      </c>
      <c r="C731" s="6">
        <f t="shared" si="44"/>
        <v>300000</v>
      </c>
      <c r="D731" s="5">
        <f t="shared" si="45"/>
        <v>406727.19504379411</v>
      </c>
      <c r="F731" s="4">
        <v>6904.9958800012209</v>
      </c>
      <c r="G731" s="4">
        <f t="shared" si="46"/>
        <v>300000</v>
      </c>
      <c r="H731" s="4">
        <f t="shared" si="47"/>
        <v>-80000</v>
      </c>
    </row>
    <row r="732" spans="2:8" x14ac:dyDescent="0.35">
      <c r="B732" s="5">
        <v>16088.106936857204</v>
      </c>
      <c r="C732" s="6">
        <f t="shared" si="44"/>
        <v>300000</v>
      </c>
      <c r="D732" s="5">
        <f t="shared" si="45"/>
        <v>550000</v>
      </c>
      <c r="F732" s="4">
        <v>5647.9384746848973</v>
      </c>
      <c r="G732" s="4">
        <f t="shared" si="46"/>
        <v>282396.92373424489</v>
      </c>
      <c r="H732" s="4">
        <f t="shared" si="47"/>
        <v>-104644.3067720572</v>
      </c>
    </row>
    <row r="733" spans="2:8" x14ac:dyDescent="0.35">
      <c r="B733" s="5">
        <v>14567.827387310404</v>
      </c>
      <c r="C733" s="6">
        <f t="shared" si="44"/>
        <v>300000</v>
      </c>
      <c r="D733" s="5">
        <f t="shared" si="45"/>
        <v>519747.91711172834</v>
      </c>
      <c r="F733" s="4">
        <v>7907.3763237403482</v>
      </c>
      <c r="G733" s="4">
        <f t="shared" si="46"/>
        <v>300000</v>
      </c>
      <c r="H733" s="4">
        <f t="shared" si="47"/>
        <v>-80000</v>
      </c>
    </row>
    <row r="734" spans="2:8" x14ac:dyDescent="0.35">
      <c r="B734" s="5">
        <v>16772.179326761681</v>
      </c>
      <c r="C734" s="6">
        <f t="shared" si="44"/>
        <v>300000</v>
      </c>
      <c r="D734" s="5">
        <f t="shared" si="45"/>
        <v>550000</v>
      </c>
      <c r="F734" s="4">
        <v>5906.2776573992123</v>
      </c>
      <c r="G734" s="4">
        <f t="shared" si="46"/>
        <v>295313.88286996062</v>
      </c>
      <c r="H734" s="4">
        <f t="shared" si="47"/>
        <v>-86560.563982055115</v>
      </c>
    </row>
    <row r="735" spans="2:8" x14ac:dyDescent="0.35">
      <c r="B735" s="5">
        <v>15839.838862269968</v>
      </c>
      <c r="C735" s="6">
        <f t="shared" si="44"/>
        <v>300000</v>
      </c>
      <c r="D735" s="5">
        <f t="shared" si="45"/>
        <v>550000</v>
      </c>
      <c r="F735" s="4">
        <v>4352.4277474288156</v>
      </c>
      <c r="G735" s="4">
        <f t="shared" si="46"/>
        <v>217621.38737144077</v>
      </c>
      <c r="H735" s="4">
        <f t="shared" si="47"/>
        <v>-195330.05767998291</v>
      </c>
    </row>
    <row r="736" spans="2:8" x14ac:dyDescent="0.35">
      <c r="B736" s="5">
        <v>13263.008514664143</v>
      </c>
      <c r="C736" s="6">
        <f t="shared" si="44"/>
        <v>300000</v>
      </c>
      <c r="D736" s="5">
        <f t="shared" si="45"/>
        <v>428410.59602648998</v>
      </c>
      <c r="F736" s="4">
        <v>3860.4693746757407</v>
      </c>
      <c r="G736" s="4">
        <f t="shared" si="46"/>
        <v>193023.46873378704</v>
      </c>
      <c r="H736" s="4">
        <f t="shared" si="47"/>
        <v>-229767.14377269812</v>
      </c>
    </row>
    <row r="737" spans="2:8" x14ac:dyDescent="0.35">
      <c r="B737" s="5">
        <v>14611.774040955839</v>
      </c>
      <c r="C737" s="6">
        <f t="shared" si="44"/>
        <v>300000</v>
      </c>
      <c r="D737" s="5">
        <f t="shared" si="45"/>
        <v>522824.18286690873</v>
      </c>
      <c r="F737" s="4">
        <v>6771.1722159489727</v>
      </c>
      <c r="G737" s="4">
        <f t="shared" si="46"/>
        <v>300000</v>
      </c>
      <c r="H737" s="4">
        <f t="shared" si="47"/>
        <v>-80000</v>
      </c>
    </row>
    <row r="738" spans="2:8" x14ac:dyDescent="0.35">
      <c r="B738" s="5">
        <v>14717.67326883755</v>
      </c>
      <c r="C738" s="6">
        <f t="shared" si="44"/>
        <v>300000</v>
      </c>
      <c r="D738" s="5">
        <f t="shared" si="45"/>
        <v>530237.12881862849</v>
      </c>
      <c r="F738" s="4">
        <v>3312.0517593920713</v>
      </c>
      <c r="G738" s="4">
        <f t="shared" si="46"/>
        <v>165602.58796960357</v>
      </c>
      <c r="H738" s="4">
        <f t="shared" si="47"/>
        <v>-268156.37684255501</v>
      </c>
    </row>
    <row r="739" spans="2:8" x14ac:dyDescent="0.35">
      <c r="B739" s="5">
        <v>14422.711874752036</v>
      </c>
      <c r="C739" s="6">
        <f t="shared" si="44"/>
        <v>300000</v>
      </c>
      <c r="D739" s="5">
        <f t="shared" si="45"/>
        <v>509589.83123264252</v>
      </c>
      <c r="F739" s="4">
        <v>6637.3485518967254</v>
      </c>
      <c r="G739" s="4">
        <f t="shared" si="46"/>
        <v>300000</v>
      </c>
      <c r="H739" s="4">
        <f t="shared" si="47"/>
        <v>-80000</v>
      </c>
    </row>
    <row r="740" spans="2:8" x14ac:dyDescent="0.35">
      <c r="B740" s="5">
        <v>15305.459761345255</v>
      </c>
      <c r="C740" s="6">
        <f t="shared" si="44"/>
        <v>300000</v>
      </c>
      <c r="D740" s="5">
        <f t="shared" si="45"/>
        <v>550000</v>
      </c>
      <c r="F740" s="4">
        <v>4016.5715506454662</v>
      </c>
      <c r="G740" s="4">
        <f t="shared" si="46"/>
        <v>200828.57753227331</v>
      </c>
      <c r="H740" s="4">
        <f t="shared" si="47"/>
        <v>-218839.99145481735</v>
      </c>
    </row>
    <row r="741" spans="2:8" x14ac:dyDescent="0.35">
      <c r="B741" s="5">
        <v>14965.941343424787</v>
      </c>
      <c r="C741" s="6">
        <f t="shared" si="44"/>
        <v>300000</v>
      </c>
      <c r="D741" s="5">
        <f t="shared" si="45"/>
        <v>547615.89403973508</v>
      </c>
      <c r="F741" s="4">
        <v>3717.9479354228338</v>
      </c>
      <c r="G741" s="4">
        <f t="shared" si="46"/>
        <v>185897.39677114168</v>
      </c>
      <c r="H741" s="4">
        <f t="shared" si="47"/>
        <v>-239743.64452040163</v>
      </c>
    </row>
    <row r="742" spans="2:8" x14ac:dyDescent="0.35">
      <c r="B742" s="5">
        <v>14651.753288369397</v>
      </c>
      <c r="C742" s="6">
        <f t="shared" si="44"/>
        <v>300000</v>
      </c>
      <c r="D742" s="5">
        <f t="shared" si="45"/>
        <v>525622.73018585774</v>
      </c>
      <c r="F742" s="4">
        <v>4883.9075899533073</v>
      </c>
      <c r="G742" s="4">
        <f t="shared" si="46"/>
        <v>244195.37949766536</v>
      </c>
      <c r="H742" s="4">
        <f t="shared" si="47"/>
        <v>-158126.4687032685</v>
      </c>
    </row>
    <row r="743" spans="2:8" x14ac:dyDescent="0.35">
      <c r="B743" s="5">
        <v>15312.631611072116</v>
      </c>
      <c r="C743" s="6">
        <f t="shared" si="44"/>
        <v>300000</v>
      </c>
      <c r="D743" s="5">
        <f t="shared" si="45"/>
        <v>550000</v>
      </c>
      <c r="F743" s="4">
        <v>5710.1962340159307</v>
      </c>
      <c r="G743" s="4">
        <f t="shared" si="46"/>
        <v>285509.81170079653</v>
      </c>
      <c r="H743" s="4">
        <f t="shared" si="47"/>
        <v>-100286.26361888484</v>
      </c>
    </row>
    <row r="744" spans="2:8" x14ac:dyDescent="0.35">
      <c r="B744" s="5">
        <v>14513.962218085269</v>
      </c>
      <c r="C744" s="6">
        <f t="shared" si="44"/>
        <v>300000</v>
      </c>
      <c r="D744" s="5">
        <f t="shared" si="45"/>
        <v>515977.35526596883</v>
      </c>
      <c r="F744" s="4">
        <v>7356.5172276985995</v>
      </c>
      <c r="G744" s="4">
        <f t="shared" si="46"/>
        <v>300000</v>
      </c>
      <c r="H744" s="4">
        <f t="shared" si="47"/>
        <v>-80000</v>
      </c>
    </row>
    <row r="745" spans="2:8" x14ac:dyDescent="0.35">
      <c r="B745" s="5">
        <v>14839.136936552019</v>
      </c>
      <c r="C745" s="6">
        <f t="shared" si="44"/>
        <v>300000</v>
      </c>
      <c r="D745" s="5">
        <f t="shared" si="45"/>
        <v>538739.58555864135</v>
      </c>
      <c r="F745" s="4">
        <v>6250.5264442884609</v>
      </c>
      <c r="G745" s="4">
        <f t="shared" si="46"/>
        <v>300000</v>
      </c>
      <c r="H745" s="4">
        <f t="shared" si="47"/>
        <v>-80000</v>
      </c>
    </row>
    <row r="746" spans="2:8" x14ac:dyDescent="0.35">
      <c r="B746" s="5">
        <v>13129.642628254036</v>
      </c>
      <c r="C746" s="6">
        <f t="shared" si="44"/>
        <v>300000</v>
      </c>
      <c r="D746" s="5">
        <f t="shared" si="45"/>
        <v>419074.98397778254</v>
      </c>
      <c r="F746" s="4">
        <v>6944.3647572252576</v>
      </c>
      <c r="G746" s="4">
        <f t="shared" si="46"/>
        <v>300000</v>
      </c>
      <c r="H746" s="4">
        <f t="shared" si="47"/>
        <v>-80000</v>
      </c>
    </row>
    <row r="747" spans="2:8" x14ac:dyDescent="0.35">
      <c r="B747" s="5">
        <v>13797.082430494094</v>
      </c>
      <c r="C747" s="6">
        <f t="shared" si="44"/>
        <v>300000</v>
      </c>
      <c r="D747" s="5">
        <f t="shared" si="45"/>
        <v>465795.77013458661</v>
      </c>
      <c r="F747" s="4">
        <v>3611.5909298989836</v>
      </c>
      <c r="G747" s="4">
        <f t="shared" si="46"/>
        <v>180579.54649494917</v>
      </c>
      <c r="H747" s="4">
        <f t="shared" si="47"/>
        <v>-247188.63490707116</v>
      </c>
    </row>
    <row r="748" spans="2:8" x14ac:dyDescent="0.35">
      <c r="B748" s="5">
        <v>12665.761284218879</v>
      </c>
      <c r="C748" s="6">
        <f t="shared" si="44"/>
        <v>300000</v>
      </c>
      <c r="D748" s="5">
        <f t="shared" si="45"/>
        <v>386603.28989532159</v>
      </c>
      <c r="F748" s="4">
        <v>7234.2905972472308</v>
      </c>
      <c r="G748" s="4">
        <f t="shared" si="46"/>
        <v>300000</v>
      </c>
      <c r="H748" s="4">
        <f t="shared" si="47"/>
        <v>-80000</v>
      </c>
    </row>
    <row r="749" spans="2:8" x14ac:dyDescent="0.35">
      <c r="B749" s="5">
        <v>13483.504745628223</v>
      </c>
      <c r="C749" s="6">
        <f t="shared" si="44"/>
        <v>300000</v>
      </c>
      <c r="D749" s="5">
        <f t="shared" si="45"/>
        <v>443845.33219397557</v>
      </c>
      <c r="F749" s="4">
        <v>3380.870998260445</v>
      </c>
      <c r="G749" s="4">
        <f t="shared" si="46"/>
        <v>169043.54991302226</v>
      </c>
      <c r="H749" s="4">
        <f t="shared" si="47"/>
        <v>-263339.03012176882</v>
      </c>
    </row>
    <row r="750" spans="2:8" x14ac:dyDescent="0.35">
      <c r="B750" s="5">
        <v>16148.838770714439</v>
      </c>
      <c r="C750" s="6">
        <f t="shared" si="44"/>
        <v>300000</v>
      </c>
      <c r="D750" s="5">
        <f t="shared" si="45"/>
        <v>550000</v>
      </c>
      <c r="F750" s="4">
        <v>7732.657856990264</v>
      </c>
      <c r="G750" s="4">
        <f t="shared" si="46"/>
        <v>300000</v>
      </c>
      <c r="H750" s="4">
        <f t="shared" si="47"/>
        <v>-80000</v>
      </c>
    </row>
    <row r="751" spans="2:8" x14ac:dyDescent="0.35">
      <c r="B751" s="5">
        <v>13127.964110232857</v>
      </c>
      <c r="C751" s="6">
        <f t="shared" si="44"/>
        <v>300000</v>
      </c>
      <c r="D751" s="5">
        <f t="shared" si="45"/>
        <v>418957.48771629995</v>
      </c>
      <c r="F751" s="4">
        <v>7296.2431714835047</v>
      </c>
      <c r="G751" s="4">
        <f t="shared" si="46"/>
        <v>300000</v>
      </c>
      <c r="H751" s="4">
        <f t="shared" si="47"/>
        <v>-80000</v>
      </c>
    </row>
    <row r="752" spans="2:8" x14ac:dyDescent="0.35">
      <c r="B752" s="5">
        <v>13777.550584429457</v>
      </c>
      <c r="C752" s="6">
        <f t="shared" si="44"/>
        <v>300000</v>
      </c>
      <c r="D752" s="5">
        <f t="shared" si="45"/>
        <v>464428.54091006191</v>
      </c>
      <c r="F752" s="4">
        <v>5268.5934018982516</v>
      </c>
      <c r="G752" s="4">
        <f t="shared" si="46"/>
        <v>263429.67009491258</v>
      </c>
      <c r="H752" s="4">
        <f t="shared" si="47"/>
        <v>-131198.46186712239</v>
      </c>
    </row>
    <row r="753" spans="2:8" x14ac:dyDescent="0.35">
      <c r="B753" s="5">
        <v>15033.234656819361</v>
      </c>
      <c r="C753" s="6">
        <f t="shared" si="44"/>
        <v>300000</v>
      </c>
      <c r="D753" s="5">
        <f t="shared" si="45"/>
        <v>550000</v>
      </c>
      <c r="F753" s="4">
        <v>5304.6052430799282</v>
      </c>
      <c r="G753" s="4">
        <f t="shared" si="46"/>
        <v>265230.26215399639</v>
      </c>
      <c r="H753" s="4">
        <f t="shared" si="47"/>
        <v>-128677.63298440503</v>
      </c>
    </row>
    <row r="754" spans="2:8" x14ac:dyDescent="0.35">
      <c r="B754" s="5">
        <v>15253.73088778344</v>
      </c>
      <c r="C754" s="6">
        <f t="shared" si="44"/>
        <v>300000</v>
      </c>
      <c r="D754" s="5">
        <f t="shared" si="45"/>
        <v>550000</v>
      </c>
      <c r="F754" s="4">
        <v>4009.0945158238474</v>
      </c>
      <c r="G754" s="4">
        <f t="shared" si="46"/>
        <v>200454.72579119238</v>
      </c>
      <c r="H754" s="4">
        <f t="shared" si="47"/>
        <v>-219363.38389233069</v>
      </c>
    </row>
    <row r="755" spans="2:8" x14ac:dyDescent="0.35">
      <c r="B755" s="5">
        <v>14326.578569902646</v>
      </c>
      <c r="C755" s="6">
        <f t="shared" si="44"/>
        <v>300000</v>
      </c>
      <c r="D755" s="5">
        <f t="shared" si="45"/>
        <v>502860.49989318522</v>
      </c>
      <c r="F755" s="4">
        <v>6944.3647572252576</v>
      </c>
      <c r="G755" s="4">
        <f t="shared" si="46"/>
        <v>300000</v>
      </c>
      <c r="H755" s="4">
        <f t="shared" si="47"/>
        <v>-80000</v>
      </c>
    </row>
    <row r="756" spans="2:8" x14ac:dyDescent="0.35">
      <c r="B756" s="5">
        <v>15314.615314188055</v>
      </c>
      <c r="C756" s="6">
        <f t="shared" si="44"/>
        <v>300000</v>
      </c>
      <c r="D756" s="5">
        <f t="shared" si="45"/>
        <v>550000</v>
      </c>
      <c r="F756" s="4">
        <v>7034.2417676320692</v>
      </c>
      <c r="G756" s="4">
        <f t="shared" si="46"/>
        <v>300000</v>
      </c>
      <c r="H756" s="4">
        <f t="shared" si="47"/>
        <v>-80000</v>
      </c>
    </row>
    <row r="757" spans="2:8" x14ac:dyDescent="0.35">
      <c r="B757" s="5">
        <v>13002.380443739128</v>
      </c>
      <c r="C757" s="6">
        <f t="shared" si="44"/>
        <v>300000</v>
      </c>
      <c r="D757" s="5">
        <f t="shared" si="45"/>
        <v>410166.63106173894</v>
      </c>
      <c r="F757" s="4">
        <v>4449.9343852046268</v>
      </c>
      <c r="G757" s="4">
        <f t="shared" si="46"/>
        <v>222496.71926023133</v>
      </c>
      <c r="H757" s="4">
        <f t="shared" si="47"/>
        <v>-188504.59303567611</v>
      </c>
    </row>
    <row r="758" spans="2:8" x14ac:dyDescent="0.35">
      <c r="B758" s="5">
        <v>14670.064394054994</v>
      </c>
      <c r="C758" s="6">
        <f t="shared" si="44"/>
        <v>300000</v>
      </c>
      <c r="D758" s="5">
        <f t="shared" si="45"/>
        <v>526904.5075838496</v>
      </c>
      <c r="F758" s="4">
        <v>3528.8857692190313</v>
      </c>
      <c r="G758" s="4">
        <f t="shared" si="46"/>
        <v>176444.28846095156</v>
      </c>
      <c r="H758" s="4">
        <f t="shared" si="47"/>
        <v>-252977.99615466781</v>
      </c>
    </row>
    <row r="759" spans="2:8" x14ac:dyDescent="0.35">
      <c r="B759" s="5">
        <v>12912.961210974456</v>
      </c>
      <c r="C759" s="6">
        <f t="shared" si="44"/>
        <v>300000</v>
      </c>
      <c r="D759" s="5">
        <f t="shared" si="45"/>
        <v>403907.28476821189</v>
      </c>
      <c r="F759" s="4">
        <v>6665.7307657094025</v>
      </c>
      <c r="G759" s="4">
        <f t="shared" si="46"/>
        <v>300000</v>
      </c>
      <c r="H759" s="4">
        <f t="shared" si="47"/>
        <v>-80000</v>
      </c>
    </row>
    <row r="760" spans="2:8" x14ac:dyDescent="0.35">
      <c r="B760" s="5">
        <v>13628.772850733971</v>
      </c>
      <c r="C760" s="6">
        <f t="shared" si="44"/>
        <v>300000</v>
      </c>
      <c r="D760" s="5">
        <f t="shared" si="45"/>
        <v>454014.09955137793</v>
      </c>
      <c r="F760" s="4">
        <v>5575.6096072267828</v>
      </c>
      <c r="G760" s="4">
        <f t="shared" si="46"/>
        <v>278780.48036133917</v>
      </c>
      <c r="H760" s="4">
        <f t="shared" si="47"/>
        <v>-109707.32749412523</v>
      </c>
    </row>
    <row r="761" spans="2:8" x14ac:dyDescent="0.35">
      <c r="B761" s="5">
        <v>12097.50663777581</v>
      </c>
      <c r="C761" s="6">
        <f t="shared" si="44"/>
        <v>300000</v>
      </c>
      <c r="D761" s="5">
        <f t="shared" si="45"/>
        <v>346825.46464430669</v>
      </c>
      <c r="F761" s="4">
        <v>3063.1733146153142</v>
      </c>
      <c r="G761" s="4">
        <f t="shared" si="46"/>
        <v>153158.6657307657</v>
      </c>
      <c r="H761" s="4">
        <f t="shared" si="47"/>
        <v>-285577.86797692801</v>
      </c>
    </row>
    <row r="762" spans="2:8" x14ac:dyDescent="0.35">
      <c r="B762" s="5">
        <v>16491.409039582508</v>
      </c>
      <c r="C762" s="6">
        <f t="shared" si="44"/>
        <v>300000</v>
      </c>
      <c r="D762" s="5">
        <f t="shared" si="45"/>
        <v>550000</v>
      </c>
      <c r="F762" s="4">
        <v>7916.8370616779075</v>
      </c>
      <c r="G762" s="4">
        <f t="shared" si="46"/>
        <v>300000</v>
      </c>
      <c r="H762" s="4">
        <f t="shared" si="47"/>
        <v>-80000</v>
      </c>
    </row>
    <row r="763" spans="2:8" x14ac:dyDescent="0.35">
      <c r="B763" s="5">
        <v>16465.926084170049</v>
      </c>
      <c r="C763" s="6">
        <f t="shared" si="44"/>
        <v>300000</v>
      </c>
      <c r="D763" s="5">
        <f t="shared" si="45"/>
        <v>550000</v>
      </c>
      <c r="F763" s="4">
        <v>4001.7700735496078</v>
      </c>
      <c r="G763" s="4">
        <f t="shared" si="46"/>
        <v>200088.50367748039</v>
      </c>
      <c r="H763" s="4">
        <f t="shared" si="47"/>
        <v>-219876.09485152748</v>
      </c>
    </row>
    <row r="764" spans="2:8" x14ac:dyDescent="0.35">
      <c r="B764" s="5">
        <v>16906.155583361309</v>
      </c>
      <c r="C764" s="6">
        <f t="shared" si="44"/>
        <v>300000</v>
      </c>
      <c r="D764" s="5">
        <f t="shared" si="45"/>
        <v>550000</v>
      </c>
      <c r="F764" s="4">
        <v>3524.3079927976319</v>
      </c>
      <c r="G764" s="4">
        <f t="shared" si="46"/>
        <v>176215.39963988159</v>
      </c>
      <c r="H764" s="4">
        <f t="shared" si="47"/>
        <v>-253298.44050416577</v>
      </c>
    </row>
    <row r="765" spans="2:8" x14ac:dyDescent="0.35">
      <c r="B765" s="5">
        <v>12500.350962858975</v>
      </c>
      <c r="C765" s="6">
        <f t="shared" si="44"/>
        <v>300000</v>
      </c>
      <c r="D765" s="5">
        <f t="shared" si="45"/>
        <v>375024.56740012823</v>
      </c>
      <c r="F765" s="4">
        <v>4980.1934873500777</v>
      </c>
      <c r="G765" s="4">
        <f t="shared" si="46"/>
        <v>249009.67436750387</v>
      </c>
      <c r="H765" s="4">
        <f t="shared" si="47"/>
        <v>-151386.45588549454</v>
      </c>
    </row>
    <row r="766" spans="2:8" x14ac:dyDescent="0.35">
      <c r="B766" s="5">
        <v>13456.953642384105</v>
      </c>
      <c r="C766" s="6">
        <f t="shared" si="44"/>
        <v>300000</v>
      </c>
      <c r="D766" s="5">
        <f t="shared" si="45"/>
        <v>441986.75496688741</v>
      </c>
      <c r="F766" s="4">
        <v>7971.4651936399432</v>
      </c>
      <c r="G766" s="4">
        <f t="shared" si="46"/>
        <v>300000</v>
      </c>
      <c r="H766" s="4">
        <f t="shared" si="47"/>
        <v>-80000</v>
      </c>
    </row>
    <row r="767" spans="2:8" x14ac:dyDescent="0.35">
      <c r="B767" s="5">
        <v>14416.608172856837</v>
      </c>
      <c r="C767" s="6">
        <f t="shared" si="44"/>
        <v>300000</v>
      </c>
      <c r="D767" s="5">
        <f t="shared" si="45"/>
        <v>509162.57209997857</v>
      </c>
      <c r="F767" s="4">
        <v>7133.8847010711997</v>
      </c>
      <c r="G767" s="4">
        <f t="shared" si="46"/>
        <v>300000</v>
      </c>
      <c r="H767" s="4">
        <f t="shared" si="47"/>
        <v>-80000</v>
      </c>
    </row>
    <row r="768" spans="2:8" x14ac:dyDescent="0.35">
      <c r="B768" s="5">
        <v>16404.126102481154</v>
      </c>
      <c r="C768" s="6">
        <f t="shared" si="44"/>
        <v>300000</v>
      </c>
      <c r="D768" s="5">
        <f t="shared" si="45"/>
        <v>550000</v>
      </c>
      <c r="F768" s="4">
        <v>7101.5350810266427</v>
      </c>
      <c r="G768" s="4">
        <f t="shared" si="46"/>
        <v>300000</v>
      </c>
      <c r="H768" s="4">
        <f t="shared" si="47"/>
        <v>-80000</v>
      </c>
    </row>
    <row r="769" spans="2:8" x14ac:dyDescent="0.35">
      <c r="B769" s="5">
        <v>14277.138584551531</v>
      </c>
      <c r="C769" s="6">
        <f t="shared" si="44"/>
        <v>300000</v>
      </c>
      <c r="D769" s="5">
        <f t="shared" si="45"/>
        <v>499399.70091860718</v>
      </c>
      <c r="F769" s="4">
        <v>6745.8418530838953</v>
      </c>
      <c r="G769" s="4">
        <f t="shared" si="46"/>
        <v>300000</v>
      </c>
      <c r="H769" s="4">
        <f t="shared" si="47"/>
        <v>-80000</v>
      </c>
    </row>
    <row r="770" spans="2:8" x14ac:dyDescent="0.35">
      <c r="B770" s="5">
        <v>16346.598712118899</v>
      </c>
      <c r="C770" s="6">
        <f t="shared" si="44"/>
        <v>300000</v>
      </c>
      <c r="D770" s="5">
        <f t="shared" si="45"/>
        <v>550000</v>
      </c>
      <c r="F770" s="4">
        <v>5935.8806115909301</v>
      </c>
      <c r="G770" s="4">
        <f t="shared" si="46"/>
        <v>296794.03057954652</v>
      </c>
      <c r="H770" s="4">
        <f t="shared" si="47"/>
        <v>-84488.357188634865</v>
      </c>
    </row>
    <row r="771" spans="2:8" x14ac:dyDescent="0.35">
      <c r="B771" s="5">
        <v>13988.738670003357</v>
      </c>
      <c r="C771" s="6">
        <f t="shared" si="44"/>
        <v>300000</v>
      </c>
      <c r="D771" s="5">
        <f t="shared" si="45"/>
        <v>479211.70690023492</v>
      </c>
      <c r="F771" s="4">
        <v>6201.2390514847257</v>
      </c>
      <c r="G771" s="4">
        <f t="shared" si="46"/>
        <v>300000</v>
      </c>
      <c r="H771" s="4">
        <f t="shared" si="47"/>
        <v>-80000</v>
      </c>
    </row>
    <row r="772" spans="2:8" x14ac:dyDescent="0.35">
      <c r="B772" s="5">
        <v>14264.015625476852</v>
      </c>
      <c r="C772" s="6">
        <f t="shared" si="44"/>
        <v>300000</v>
      </c>
      <c r="D772" s="5">
        <f t="shared" si="45"/>
        <v>498481.09378337965</v>
      </c>
      <c r="F772" s="4">
        <v>7785.1496932889795</v>
      </c>
      <c r="G772" s="4">
        <f t="shared" si="46"/>
        <v>300000</v>
      </c>
      <c r="H772" s="4">
        <f t="shared" si="47"/>
        <v>-80000</v>
      </c>
    </row>
    <row r="773" spans="2:8" x14ac:dyDescent="0.35">
      <c r="B773" s="5">
        <v>12071.871089815973</v>
      </c>
      <c r="C773" s="6">
        <f t="shared" si="44"/>
        <v>300000</v>
      </c>
      <c r="D773" s="5">
        <f t="shared" si="45"/>
        <v>345030.97628711816</v>
      </c>
      <c r="F773" s="4">
        <v>5734.6110415967287</v>
      </c>
      <c r="G773" s="4">
        <f t="shared" si="46"/>
        <v>286730.55207983643</v>
      </c>
      <c r="H773" s="4">
        <f t="shared" si="47"/>
        <v>-98577.227088228974</v>
      </c>
    </row>
    <row r="774" spans="2:8" x14ac:dyDescent="0.35">
      <c r="B774" s="5">
        <v>15526.871547593615</v>
      </c>
      <c r="C774" s="6">
        <f t="shared" si="44"/>
        <v>300000</v>
      </c>
      <c r="D774" s="5">
        <f t="shared" si="45"/>
        <v>550000</v>
      </c>
      <c r="F774" s="4">
        <v>6758.9648121585742</v>
      </c>
      <c r="G774" s="4">
        <f t="shared" si="46"/>
        <v>300000</v>
      </c>
      <c r="H774" s="4">
        <f t="shared" si="47"/>
        <v>-80000</v>
      </c>
    </row>
    <row r="775" spans="2:8" x14ac:dyDescent="0.35">
      <c r="B775" s="5">
        <v>13684.011352885525</v>
      </c>
      <c r="C775" s="6">
        <f t="shared" si="44"/>
        <v>300000</v>
      </c>
      <c r="D775" s="5">
        <f t="shared" si="45"/>
        <v>457880.79470198683</v>
      </c>
      <c r="F775" s="4">
        <v>7638.8134403515733</v>
      </c>
      <c r="G775" s="4">
        <f t="shared" si="46"/>
        <v>300000</v>
      </c>
      <c r="H775" s="4">
        <f t="shared" si="47"/>
        <v>-80000</v>
      </c>
    </row>
    <row r="776" spans="2:8" x14ac:dyDescent="0.35">
      <c r="B776" s="5">
        <v>13673.787652211066</v>
      </c>
      <c r="C776" s="6">
        <f t="shared" si="44"/>
        <v>300000</v>
      </c>
      <c r="D776" s="5">
        <f t="shared" si="45"/>
        <v>457165.13565477461</v>
      </c>
      <c r="F776" s="4">
        <v>4925.8705404828024</v>
      </c>
      <c r="G776" s="4">
        <f t="shared" si="46"/>
        <v>246293.52702414012</v>
      </c>
      <c r="H776" s="4">
        <f t="shared" si="47"/>
        <v>-155189.0621662038</v>
      </c>
    </row>
    <row r="777" spans="2:8" x14ac:dyDescent="0.35">
      <c r="B777" s="5">
        <v>12739.463484603411</v>
      </c>
      <c r="C777" s="6">
        <f t="shared" si="44"/>
        <v>300000</v>
      </c>
      <c r="D777" s="5">
        <f t="shared" si="45"/>
        <v>391762.44392223877</v>
      </c>
      <c r="F777" s="4">
        <v>5429.8837244788965</v>
      </c>
      <c r="G777" s="4">
        <f t="shared" si="46"/>
        <v>271494.18622394482</v>
      </c>
      <c r="H777" s="4">
        <f t="shared" si="47"/>
        <v>-119908.13928647724</v>
      </c>
    </row>
    <row r="778" spans="2:8" x14ac:dyDescent="0.35">
      <c r="B778" s="5">
        <v>13679.128391369366</v>
      </c>
      <c r="C778" s="6">
        <f t="shared" si="44"/>
        <v>300000</v>
      </c>
      <c r="D778" s="5">
        <f t="shared" si="45"/>
        <v>457538.9873958556</v>
      </c>
      <c r="F778" s="4">
        <v>7884.3348490859707</v>
      </c>
      <c r="G778" s="4">
        <f t="shared" si="46"/>
        <v>300000</v>
      </c>
      <c r="H778" s="4">
        <f t="shared" si="47"/>
        <v>-80000</v>
      </c>
    </row>
    <row r="779" spans="2:8" x14ac:dyDescent="0.35">
      <c r="B779" s="5">
        <v>13225.318155461287</v>
      </c>
      <c r="C779" s="6">
        <f t="shared" si="44"/>
        <v>300000</v>
      </c>
      <c r="D779" s="5">
        <f t="shared" si="45"/>
        <v>425772.27088229009</v>
      </c>
      <c r="F779" s="4">
        <v>7936.6740928373056</v>
      </c>
      <c r="G779" s="4">
        <f t="shared" si="46"/>
        <v>300000</v>
      </c>
      <c r="H779" s="4">
        <f t="shared" si="47"/>
        <v>-80000</v>
      </c>
    </row>
    <row r="780" spans="2:8" x14ac:dyDescent="0.35">
      <c r="B780" s="5">
        <v>14667.470320749535</v>
      </c>
      <c r="C780" s="6">
        <f t="shared" ref="C780:C843" si="48">50*MIN(B780,6000)</f>
        <v>300000</v>
      </c>
      <c r="D780" s="5">
        <f t="shared" ref="D780:D843" si="49">70*MIN(B780,15000)-500000</f>
        <v>526722.92245246749</v>
      </c>
      <c r="F780" s="4">
        <v>5091.4334543900877</v>
      </c>
      <c r="G780" s="4">
        <f t="shared" ref="G780:G843" si="50">50*MIN(F780,6000)</f>
        <v>254571.67271950439</v>
      </c>
      <c r="H780" s="4">
        <f t="shared" ref="H780:H843" si="51">70*MIN(F780,6000)-500000</f>
        <v>-143599.65819269384</v>
      </c>
    </row>
    <row r="781" spans="2:8" x14ac:dyDescent="0.35">
      <c r="B781" s="5">
        <v>16072.695089571826</v>
      </c>
      <c r="C781" s="6">
        <f t="shared" si="48"/>
        <v>300000</v>
      </c>
      <c r="D781" s="5">
        <f t="shared" si="49"/>
        <v>550000</v>
      </c>
      <c r="F781" s="4">
        <v>5516.5562913907288</v>
      </c>
      <c r="G781" s="4">
        <f t="shared" si="50"/>
        <v>275827.81456953642</v>
      </c>
      <c r="H781" s="4">
        <f t="shared" si="51"/>
        <v>-113841.05960264901</v>
      </c>
    </row>
    <row r="782" spans="2:8" x14ac:dyDescent="0.35">
      <c r="B782" s="5">
        <v>14239.600817896055</v>
      </c>
      <c r="C782" s="6">
        <f t="shared" si="48"/>
        <v>300000</v>
      </c>
      <c r="D782" s="5">
        <f t="shared" si="49"/>
        <v>496772.05725272384</v>
      </c>
      <c r="F782" s="4">
        <v>4594.7447126682328</v>
      </c>
      <c r="G782" s="4">
        <f t="shared" si="50"/>
        <v>229737.23563341165</v>
      </c>
      <c r="H782" s="4">
        <f t="shared" si="51"/>
        <v>-178367.87011322373</v>
      </c>
    </row>
    <row r="783" spans="2:8" x14ac:dyDescent="0.35">
      <c r="B783" s="5">
        <v>16358.958708456679</v>
      </c>
      <c r="C783" s="6">
        <f t="shared" si="48"/>
        <v>300000</v>
      </c>
      <c r="D783" s="5">
        <f t="shared" si="49"/>
        <v>550000</v>
      </c>
      <c r="F783" s="4">
        <v>5730.491042817469</v>
      </c>
      <c r="G783" s="4">
        <f t="shared" si="50"/>
        <v>286524.55214087345</v>
      </c>
      <c r="H783" s="4">
        <f t="shared" si="51"/>
        <v>-98865.627002777182</v>
      </c>
    </row>
    <row r="784" spans="2:8" x14ac:dyDescent="0.35">
      <c r="B784" s="5">
        <v>16340.18982512894</v>
      </c>
      <c r="C784" s="6">
        <f t="shared" si="48"/>
        <v>300000</v>
      </c>
      <c r="D784" s="5">
        <f t="shared" si="49"/>
        <v>550000</v>
      </c>
      <c r="F784" s="4">
        <v>6419.1412091433449</v>
      </c>
      <c r="G784" s="4">
        <f t="shared" si="50"/>
        <v>300000</v>
      </c>
      <c r="H784" s="4">
        <f t="shared" si="51"/>
        <v>-80000</v>
      </c>
    </row>
    <row r="785" spans="2:8" x14ac:dyDescent="0.35">
      <c r="B785" s="5">
        <v>16282.815027314065</v>
      </c>
      <c r="C785" s="6">
        <f t="shared" si="48"/>
        <v>300000</v>
      </c>
      <c r="D785" s="5">
        <f t="shared" si="49"/>
        <v>550000</v>
      </c>
      <c r="F785" s="4">
        <v>6946.0432752464367</v>
      </c>
      <c r="G785" s="4">
        <f t="shared" si="50"/>
        <v>300000</v>
      </c>
      <c r="H785" s="4">
        <f t="shared" si="51"/>
        <v>-80000</v>
      </c>
    </row>
    <row r="786" spans="2:8" x14ac:dyDescent="0.35">
      <c r="B786" s="5">
        <v>12584.124271370587</v>
      </c>
      <c r="C786" s="6">
        <f t="shared" si="48"/>
        <v>300000</v>
      </c>
      <c r="D786" s="5">
        <f t="shared" si="49"/>
        <v>380888.69899594109</v>
      </c>
      <c r="F786" s="4">
        <v>5445.6007568590348</v>
      </c>
      <c r="G786" s="4">
        <f t="shared" si="50"/>
        <v>272280.03784295171</v>
      </c>
      <c r="H786" s="4">
        <f t="shared" si="51"/>
        <v>-118807.94701986754</v>
      </c>
    </row>
    <row r="787" spans="2:8" x14ac:dyDescent="0.35">
      <c r="B787" s="5">
        <v>15426.007873775445</v>
      </c>
      <c r="C787" s="6">
        <f t="shared" si="48"/>
        <v>300000</v>
      </c>
      <c r="D787" s="5">
        <f t="shared" si="49"/>
        <v>550000</v>
      </c>
      <c r="F787" s="4">
        <v>3629.1390728476822</v>
      </c>
      <c r="G787" s="4">
        <f t="shared" si="50"/>
        <v>181456.95364238412</v>
      </c>
      <c r="H787" s="4">
        <f t="shared" si="51"/>
        <v>-245960.26490066224</v>
      </c>
    </row>
    <row r="788" spans="2:8" x14ac:dyDescent="0.35">
      <c r="B788" s="5">
        <v>13759.849848933378</v>
      </c>
      <c r="C788" s="6">
        <f t="shared" si="48"/>
        <v>300000</v>
      </c>
      <c r="D788" s="5">
        <f t="shared" si="49"/>
        <v>463189.48942533648</v>
      </c>
      <c r="F788" s="4">
        <v>3761.2842188787499</v>
      </c>
      <c r="G788" s="4">
        <f t="shared" si="50"/>
        <v>188064.21094393751</v>
      </c>
      <c r="H788" s="4">
        <f t="shared" si="51"/>
        <v>-236710.10467848752</v>
      </c>
    </row>
    <row r="789" spans="2:8" x14ac:dyDescent="0.35">
      <c r="B789" s="5">
        <v>14388.073366496781</v>
      </c>
      <c r="C789" s="6">
        <f t="shared" si="48"/>
        <v>300000</v>
      </c>
      <c r="D789" s="5">
        <f t="shared" si="49"/>
        <v>507165.13565477473</v>
      </c>
      <c r="F789" s="4">
        <v>4626.4839625232707</v>
      </c>
      <c r="G789" s="4">
        <f t="shared" si="50"/>
        <v>231324.19812616354</v>
      </c>
      <c r="H789" s="4">
        <f t="shared" si="51"/>
        <v>-176146.12262337108</v>
      </c>
    </row>
    <row r="790" spans="2:8" x14ac:dyDescent="0.35">
      <c r="B790" s="5">
        <v>14488.631855220192</v>
      </c>
      <c r="C790" s="6">
        <f t="shared" si="48"/>
        <v>300000</v>
      </c>
      <c r="D790" s="5">
        <f t="shared" si="49"/>
        <v>514204.22986541339</v>
      </c>
      <c r="F790" s="4">
        <v>4816.0039063692129</v>
      </c>
      <c r="G790" s="4">
        <f t="shared" si="50"/>
        <v>240800.19531846064</v>
      </c>
      <c r="H790" s="4">
        <f t="shared" si="51"/>
        <v>-162879.72655415512</v>
      </c>
    </row>
    <row r="791" spans="2:8" x14ac:dyDescent="0.35">
      <c r="B791" s="5">
        <v>14107.760856959747</v>
      </c>
      <c r="C791" s="6">
        <f t="shared" si="48"/>
        <v>300000</v>
      </c>
      <c r="D791" s="5">
        <f t="shared" si="49"/>
        <v>487543.25998718233</v>
      </c>
      <c r="F791" s="4">
        <v>3683.3094271675773</v>
      </c>
      <c r="G791" s="4">
        <f t="shared" si="50"/>
        <v>184165.47135837885</v>
      </c>
      <c r="H791" s="4">
        <f t="shared" si="51"/>
        <v>-242168.3400982696</v>
      </c>
    </row>
    <row r="792" spans="2:8" x14ac:dyDescent="0.35">
      <c r="B792" s="5">
        <v>15359.172338023011</v>
      </c>
      <c r="C792" s="6">
        <f t="shared" si="48"/>
        <v>300000</v>
      </c>
      <c r="D792" s="5">
        <f t="shared" si="49"/>
        <v>550000</v>
      </c>
      <c r="F792" s="4">
        <v>7902.340769676809</v>
      </c>
      <c r="G792" s="4">
        <f t="shared" si="50"/>
        <v>300000</v>
      </c>
      <c r="H792" s="4">
        <f t="shared" si="51"/>
        <v>-80000</v>
      </c>
    </row>
    <row r="793" spans="2:8" x14ac:dyDescent="0.35">
      <c r="B793" s="5">
        <v>14166.50898770104</v>
      </c>
      <c r="C793" s="6">
        <f t="shared" si="48"/>
        <v>300000</v>
      </c>
      <c r="D793" s="5">
        <f t="shared" si="49"/>
        <v>491655.62913907273</v>
      </c>
      <c r="F793" s="4">
        <v>7897.7629932554091</v>
      </c>
      <c r="G793" s="4">
        <f t="shared" si="50"/>
        <v>300000</v>
      </c>
      <c r="H793" s="4">
        <f t="shared" si="51"/>
        <v>-80000</v>
      </c>
    </row>
    <row r="794" spans="2:8" x14ac:dyDescent="0.35">
      <c r="B794" s="5">
        <v>13895.352031006805</v>
      </c>
      <c r="C794" s="6">
        <f t="shared" si="48"/>
        <v>300000</v>
      </c>
      <c r="D794" s="5">
        <f t="shared" si="49"/>
        <v>472674.64217047638</v>
      </c>
      <c r="F794" s="4">
        <v>7111.3010040589616</v>
      </c>
      <c r="G794" s="4">
        <f t="shared" si="50"/>
        <v>300000</v>
      </c>
      <c r="H794" s="4">
        <f t="shared" si="51"/>
        <v>-80000</v>
      </c>
    </row>
    <row r="795" spans="2:8" x14ac:dyDescent="0.35">
      <c r="B795" s="5">
        <v>12249.336222418897</v>
      </c>
      <c r="C795" s="6">
        <f t="shared" si="48"/>
        <v>300000</v>
      </c>
      <c r="D795" s="5">
        <f t="shared" si="49"/>
        <v>357453.53556932276</v>
      </c>
      <c r="F795" s="4">
        <v>7903.8666951506084</v>
      </c>
      <c r="G795" s="4">
        <f t="shared" si="50"/>
        <v>300000</v>
      </c>
      <c r="H795" s="4">
        <f t="shared" si="51"/>
        <v>-80000</v>
      </c>
    </row>
    <row r="796" spans="2:8" x14ac:dyDescent="0.35">
      <c r="B796" s="5">
        <v>14084.719382305368</v>
      </c>
      <c r="C796" s="6">
        <f t="shared" si="48"/>
        <v>300000</v>
      </c>
      <c r="D796" s="5">
        <f t="shared" si="49"/>
        <v>485930.35676137567</v>
      </c>
      <c r="F796" s="4">
        <v>4627.8572954496904</v>
      </c>
      <c r="G796" s="4">
        <f t="shared" si="50"/>
        <v>231392.86477248452</v>
      </c>
      <c r="H796" s="4">
        <f t="shared" si="51"/>
        <v>-176049.98931852169</v>
      </c>
    </row>
    <row r="797" spans="2:8" x14ac:dyDescent="0.35">
      <c r="B797" s="5">
        <v>16829.096346934417</v>
      </c>
      <c r="C797" s="6">
        <f t="shared" si="48"/>
        <v>300000</v>
      </c>
      <c r="D797" s="5">
        <f t="shared" si="49"/>
        <v>550000</v>
      </c>
      <c r="F797" s="4">
        <v>6444.1663869136628</v>
      </c>
      <c r="G797" s="4">
        <f t="shared" si="50"/>
        <v>300000</v>
      </c>
      <c r="H797" s="4">
        <f t="shared" si="51"/>
        <v>-80000</v>
      </c>
    </row>
    <row r="798" spans="2:8" x14ac:dyDescent="0.35">
      <c r="B798" s="5">
        <v>14517.777031769769</v>
      </c>
      <c r="C798" s="6">
        <f t="shared" si="48"/>
        <v>300000</v>
      </c>
      <c r="D798" s="5">
        <f t="shared" si="49"/>
        <v>516244.39222388377</v>
      </c>
      <c r="F798" s="4">
        <v>4646.778771324809</v>
      </c>
      <c r="G798" s="4">
        <f t="shared" si="50"/>
        <v>232338.93856624045</v>
      </c>
      <c r="H798" s="4">
        <f t="shared" si="51"/>
        <v>-174725.48600726336</v>
      </c>
    </row>
    <row r="799" spans="2:8" x14ac:dyDescent="0.35">
      <c r="B799" s="5">
        <v>14172.1549119541</v>
      </c>
      <c r="C799" s="6">
        <f t="shared" si="48"/>
        <v>300000</v>
      </c>
      <c r="D799" s="5">
        <f t="shared" si="49"/>
        <v>492050.84383678692</v>
      </c>
      <c r="F799" s="4">
        <v>7734.946745200964</v>
      </c>
      <c r="G799" s="4">
        <f t="shared" si="50"/>
        <v>300000</v>
      </c>
      <c r="H799" s="4">
        <f t="shared" si="51"/>
        <v>-80000</v>
      </c>
    </row>
    <row r="800" spans="2:8" x14ac:dyDescent="0.35">
      <c r="B800" s="5">
        <v>13089.358195745719</v>
      </c>
      <c r="C800" s="6">
        <f t="shared" si="48"/>
        <v>300000</v>
      </c>
      <c r="D800" s="5">
        <f t="shared" si="49"/>
        <v>416255.07370220032</v>
      </c>
      <c r="F800" s="4">
        <v>6932.1573534348581</v>
      </c>
      <c r="G800" s="4">
        <f t="shared" si="50"/>
        <v>300000</v>
      </c>
      <c r="H800" s="4">
        <f t="shared" si="51"/>
        <v>-80000</v>
      </c>
    </row>
    <row r="801" spans="2:8" x14ac:dyDescent="0.35">
      <c r="B801" s="5">
        <v>12069.734794152653</v>
      </c>
      <c r="C801" s="6">
        <f t="shared" si="48"/>
        <v>300000</v>
      </c>
      <c r="D801" s="5">
        <f t="shared" si="49"/>
        <v>344881.43559068569</v>
      </c>
      <c r="F801" s="4">
        <v>6805.04776146733</v>
      </c>
      <c r="G801" s="4">
        <f t="shared" si="50"/>
        <v>300000</v>
      </c>
      <c r="H801" s="4">
        <f t="shared" si="51"/>
        <v>-80000</v>
      </c>
    </row>
    <row r="802" spans="2:8" x14ac:dyDescent="0.35">
      <c r="B802" s="5">
        <v>12314.34064760277</v>
      </c>
      <c r="C802" s="6">
        <f t="shared" si="48"/>
        <v>300000</v>
      </c>
      <c r="D802" s="5">
        <f t="shared" si="49"/>
        <v>362003.84533219389</v>
      </c>
      <c r="F802" s="4">
        <v>3745.4145939512314</v>
      </c>
      <c r="G802" s="4">
        <f t="shared" si="50"/>
        <v>187270.72969756156</v>
      </c>
      <c r="H802" s="4">
        <f t="shared" si="51"/>
        <v>-237820.97842341382</v>
      </c>
    </row>
    <row r="803" spans="2:8" x14ac:dyDescent="0.35">
      <c r="B803" s="5">
        <v>14375.865962706381</v>
      </c>
      <c r="C803" s="6">
        <f t="shared" si="48"/>
        <v>300000</v>
      </c>
      <c r="D803" s="5">
        <f t="shared" si="49"/>
        <v>506310.61738944671</v>
      </c>
      <c r="F803" s="4">
        <v>3889.004181035798</v>
      </c>
      <c r="G803" s="4">
        <f t="shared" si="50"/>
        <v>194450.20905178989</v>
      </c>
      <c r="H803" s="4">
        <f t="shared" si="51"/>
        <v>-227769.70732749416</v>
      </c>
    </row>
    <row r="804" spans="2:8" x14ac:dyDescent="0.35">
      <c r="B804" s="5">
        <v>14245.704519791254</v>
      </c>
      <c r="C804" s="6">
        <f t="shared" si="48"/>
        <v>300000</v>
      </c>
      <c r="D804" s="5">
        <f t="shared" si="49"/>
        <v>497199.31638538779</v>
      </c>
      <c r="F804" s="4">
        <v>6137.1501815851316</v>
      </c>
      <c r="G804" s="4">
        <f t="shared" si="50"/>
        <v>300000</v>
      </c>
      <c r="H804" s="4">
        <f t="shared" si="51"/>
        <v>-80000</v>
      </c>
    </row>
    <row r="805" spans="2:8" x14ac:dyDescent="0.35">
      <c r="B805" s="5">
        <v>15650.318918424024</v>
      </c>
      <c r="C805" s="6">
        <f t="shared" si="48"/>
        <v>300000</v>
      </c>
      <c r="D805" s="5">
        <f t="shared" si="49"/>
        <v>550000</v>
      </c>
      <c r="F805" s="4">
        <v>7135.2580339976193</v>
      </c>
      <c r="G805" s="4">
        <f t="shared" si="50"/>
        <v>300000</v>
      </c>
      <c r="H805" s="4">
        <f t="shared" si="51"/>
        <v>-80000</v>
      </c>
    </row>
    <row r="806" spans="2:8" x14ac:dyDescent="0.35">
      <c r="B806" s="5">
        <v>13362.498855555896</v>
      </c>
      <c r="C806" s="6">
        <f t="shared" si="48"/>
        <v>300000</v>
      </c>
      <c r="D806" s="5">
        <f t="shared" si="49"/>
        <v>435374.9198889127</v>
      </c>
      <c r="F806" s="4">
        <v>6077.6390881069365</v>
      </c>
      <c r="G806" s="4">
        <f t="shared" si="50"/>
        <v>300000</v>
      </c>
      <c r="H806" s="4">
        <f t="shared" si="51"/>
        <v>-80000</v>
      </c>
    </row>
    <row r="807" spans="2:8" x14ac:dyDescent="0.35">
      <c r="B807" s="5">
        <v>12043.031098361156</v>
      </c>
      <c r="C807" s="6">
        <f t="shared" si="48"/>
        <v>300000</v>
      </c>
      <c r="D807" s="5">
        <f t="shared" si="49"/>
        <v>343012.17688528099</v>
      </c>
      <c r="F807" s="4">
        <v>5448.9577929013949</v>
      </c>
      <c r="G807" s="4">
        <f t="shared" si="50"/>
        <v>272447.88964506972</v>
      </c>
      <c r="H807" s="4">
        <f t="shared" si="51"/>
        <v>-118572.95449690236</v>
      </c>
    </row>
    <row r="808" spans="2:8" x14ac:dyDescent="0.35">
      <c r="B808" s="5">
        <v>15263.801995910519</v>
      </c>
      <c r="C808" s="6">
        <f t="shared" si="48"/>
        <v>300000</v>
      </c>
      <c r="D808" s="5">
        <f t="shared" si="49"/>
        <v>550000</v>
      </c>
      <c r="F808" s="4">
        <v>5211.9815668202773</v>
      </c>
      <c r="G808" s="4">
        <f t="shared" si="50"/>
        <v>260599.07834101387</v>
      </c>
      <c r="H808" s="4">
        <f t="shared" si="51"/>
        <v>-135161.29032258061</v>
      </c>
    </row>
    <row r="809" spans="2:8" x14ac:dyDescent="0.35">
      <c r="B809" s="5">
        <v>16172.338023010956</v>
      </c>
      <c r="C809" s="6">
        <f t="shared" si="48"/>
        <v>300000</v>
      </c>
      <c r="D809" s="5">
        <f t="shared" si="49"/>
        <v>550000</v>
      </c>
      <c r="F809" s="4">
        <v>5375.102999969482</v>
      </c>
      <c r="G809" s="4">
        <f t="shared" si="50"/>
        <v>268755.14999847411</v>
      </c>
      <c r="H809" s="4">
        <f t="shared" si="51"/>
        <v>-123742.79000213626</v>
      </c>
    </row>
    <row r="810" spans="2:8" x14ac:dyDescent="0.35">
      <c r="B810" s="5">
        <v>14164.677877132481</v>
      </c>
      <c r="C810" s="6">
        <f t="shared" si="48"/>
        <v>300000</v>
      </c>
      <c r="D810" s="5">
        <f t="shared" si="49"/>
        <v>491527.4513992737</v>
      </c>
      <c r="F810" s="4">
        <v>4778.1609546189766</v>
      </c>
      <c r="G810" s="4">
        <f t="shared" si="50"/>
        <v>238908.04773094883</v>
      </c>
      <c r="H810" s="4">
        <f t="shared" si="51"/>
        <v>-165528.73317667167</v>
      </c>
    </row>
    <row r="811" spans="2:8" x14ac:dyDescent="0.35">
      <c r="B811" s="5">
        <v>13245.460371715446</v>
      </c>
      <c r="C811" s="6">
        <f t="shared" si="48"/>
        <v>300000</v>
      </c>
      <c r="D811" s="5">
        <f t="shared" si="49"/>
        <v>427182.2260200812</v>
      </c>
      <c r="F811" s="4">
        <v>4643.4217352824489</v>
      </c>
      <c r="G811" s="4">
        <f t="shared" si="50"/>
        <v>232171.08676412245</v>
      </c>
      <c r="H811" s="4">
        <f t="shared" si="51"/>
        <v>-174960.4785302286</v>
      </c>
    </row>
    <row r="812" spans="2:8" x14ac:dyDescent="0.35">
      <c r="B812" s="5">
        <v>13692.251350444045</v>
      </c>
      <c r="C812" s="6">
        <f t="shared" si="48"/>
        <v>300000</v>
      </c>
      <c r="D812" s="5">
        <f t="shared" si="49"/>
        <v>458457.59453108313</v>
      </c>
      <c r="F812" s="4">
        <v>5070.3756828516489</v>
      </c>
      <c r="G812" s="4">
        <f t="shared" si="50"/>
        <v>253518.78414258244</v>
      </c>
      <c r="H812" s="4">
        <f t="shared" si="51"/>
        <v>-145073.70220038458</v>
      </c>
    </row>
    <row r="813" spans="2:8" x14ac:dyDescent="0.35">
      <c r="B813" s="5">
        <v>16196.295052949614</v>
      </c>
      <c r="C813" s="6">
        <f t="shared" si="48"/>
        <v>300000</v>
      </c>
      <c r="D813" s="5">
        <f t="shared" si="49"/>
        <v>550000</v>
      </c>
      <c r="F813" s="4">
        <v>3484.1761528366956</v>
      </c>
      <c r="G813" s="4">
        <f t="shared" si="50"/>
        <v>174208.80764183478</v>
      </c>
      <c r="H813" s="4">
        <f t="shared" si="51"/>
        <v>-256107.66930143131</v>
      </c>
    </row>
    <row r="814" spans="2:8" x14ac:dyDescent="0.35">
      <c r="B814" s="5">
        <v>13916.409802545244</v>
      </c>
      <c r="C814" s="6">
        <f t="shared" si="48"/>
        <v>300000</v>
      </c>
      <c r="D814" s="5">
        <f t="shared" si="49"/>
        <v>474148.68617816712</v>
      </c>
      <c r="F814" s="4">
        <v>7369.0298165837585</v>
      </c>
      <c r="G814" s="4">
        <f t="shared" si="50"/>
        <v>300000</v>
      </c>
      <c r="H814" s="4">
        <f t="shared" si="51"/>
        <v>-80000</v>
      </c>
    </row>
    <row r="815" spans="2:8" x14ac:dyDescent="0.35">
      <c r="B815" s="5">
        <v>12263.069551683097</v>
      </c>
      <c r="C815" s="6">
        <f t="shared" si="48"/>
        <v>300000</v>
      </c>
      <c r="D815" s="5">
        <f t="shared" si="49"/>
        <v>358414.86861781671</v>
      </c>
      <c r="F815" s="4">
        <v>6203.8331247901851</v>
      </c>
      <c r="G815" s="4">
        <f t="shared" si="50"/>
        <v>300000</v>
      </c>
      <c r="H815" s="4">
        <f t="shared" si="51"/>
        <v>-80000</v>
      </c>
    </row>
    <row r="816" spans="2:8" x14ac:dyDescent="0.35">
      <c r="B816" s="5">
        <v>13587.420270393994</v>
      </c>
      <c r="C816" s="6">
        <f t="shared" si="48"/>
        <v>300000</v>
      </c>
      <c r="D816" s="5">
        <f t="shared" si="49"/>
        <v>451119.41892757954</v>
      </c>
      <c r="F816" s="4">
        <v>7126.40766624958</v>
      </c>
      <c r="G816" s="4">
        <f t="shared" si="50"/>
        <v>300000</v>
      </c>
      <c r="H816" s="4">
        <f t="shared" si="51"/>
        <v>-80000</v>
      </c>
    </row>
    <row r="817" spans="2:8" x14ac:dyDescent="0.35">
      <c r="B817" s="5">
        <v>15362.529374065371</v>
      </c>
      <c r="C817" s="6">
        <f t="shared" si="48"/>
        <v>300000</v>
      </c>
      <c r="D817" s="5">
        <f t="shared" si="49"/>
        <v>550000</v>
      </c>
      <c r="F817" s="4">
        <v>7896.3896603289895</v>
      </c>
      <c r="G817" s="4">
        <f t="shared" si="50"/>
        <v>300000</v>
      </c>
      <c r="H817" s="4">
        <f t="shared" si="51"/>
        <v>-80000</v>
      </c>
    </row>
    <row r="818" spans="2:8" x14ac:dyDescent="0.35">
      <c r="B818" s="5">
        <v>15770.104068117313</v>
      </c>
      <c r="C818" s="6">
        <f t="shared" si="48"/>
        <v>300000</v>
      </c>
      <c r="D818" s="5">
        <f t="shared" si="49"/>
        <v>550000</v>
      </c>
      <c r="F818" s="4">
        <v>5020.4779198583947</v>
      </c>
      <c r="G818" s="4">
        <f t="shared" si="50"/>
        <v>251023.89599291974</v>
      </c>
      <c r="H818" s="4">
        <f t="shared" si="51"/>
        <v>-148566.54560991237</v>
      </c>
    </row>
    <row r="819" spans="2:8" x14ac:dyDescent="0.35">
      <c r="B819" s="5">
        <v>15921.62846766564</v>
      </c>
      <c r="C819" s="6">
        <f t="shared" si="48"/>
        <v>300000</v>
      </c>
      <c r="D819" s="5">
        <f t="shared" si="49"/>
        <v>550000</v>
      </c>
      <c r="F819" s="4">
        <v>7706.1067537461468</v>
      </c>
      <c r="G819" s="4">
        <f t="shared" si="50"/>
        <v>300000</v>
      </c>
      <c r="H819" s="4">
        <f t="shared" si="51"/>
        <v>-80000</v>
      </c>
    </row>
    <row r="820" spans="2:8" x14ac:dyDescent="0.35">
      <c r="B820" s="5">
        <v>13128.574480422376</v>
      </c>
      <c r="C820" s="6">
        <f t="shared" si="48"/>
        <v>300000</v>
      </c>
      <c r="D820" s="5">
        <f t="shared" si="49"/>
        <v>419000.21362956637</v>
      </c>
      <c r="F820" s="4">
        <v>7892.72743919187</v>
      </c>
      <c r="G820" s="4">
        <f t="shared" si="50"/>
        <v>300000</v>
      </c>
      <c r="H820" s="4">
        <f t="shared" si="51"/>
        <v>-80000</v>
      </c>
    </row>
    <row r="821" spans="2:8" x14ac:dyDescent="0.35">
      <c r="B821" s="5">
        <v>15669.545579393902</v>
      </c>
      <c r="C821" s="6">
        <f t="shared" si="48"/>
        <v>300000</v>
      </c>
      <c r="D821" s="5">
        <f t="shared" si="49"/>
        <v>550000</v>
      </c>
      <c r="F821" s="4">
        <v>3850.7034516434214</v>
      </c>
      <c r="G821" s="4">
        <f t="shared" si="50"/>
        <v>192535.17258217107</v>
      </c>
      <c r="H821" s="4">
        <f t="shared" si="51"/>
        <v>-230450.75838496047</v>
      </c>
    </row>
    <row r="822" spans="2:8" x14ac:dyDescent="0.35">
      <c r="B822" s="5">
        <v>16622.333445234537</v>
      </c>
      <c r="C822" s="6">
        <f t="shared" si="48"/>
        <v>300000</v>
      </c>
      <c r="D822" s="5">
        <f t="shared" si="49"/>
        <v>550000</v>
      </c>
      <c r="F822" s="4">
        <v>5180.7000946073795</v>
      </c>
      <c r="G822" s="4">
        <f t="shared" si="50"/>
        <v>259035.00473036896</v>
      </c>
      <c r="H822" s="4">
        <f t="shared" si="51"/>
        <v>-137350.99337748345</v>
      </c>
    </row>
    <row r="823" spans="2:8" x14ac:dyDescent="0.35">
      <c r="B823" s="5">
        <v>12351.115451521347</v>
      </c>
      <c r="C823" s="6">
        <f t="shared" si="48"/>
        <v>300000</v>
      </c>
      <c r="D823" s="5">
        <f t="shared" si="49"/>
        <v>364578.08160649438</v>
      </c>
      <c r="F823" s="4">
        <v>4805.7802056947539</v>
      </c>
      <c r="G823" s="4">
        <f t="shared" si="50"/>
        <v>240289.01028473768</v>
      </c>
      <c r="H823" s="4">
        <f t="shared" si="51"/>
        <v>-163595.38560136722</v>
      </c>
    </row>
    <row r="824" spans="2:8" x14ac:dyDescent="0.35">
      <c r="B824" s="5">
        <v>13960.9668263802</v>
      </c>
      <c r="C824" s="6">
        <f t="shared" si="48"/>
        <v>300000</v>
      </c>
      <c r="D824" s="5">
        <f t="shared" si="49"/>
        <v>477267.67784661392</v>
      </c>
      <c r="F824" s="4">
        <v>3900.7538071840572</v>
      </c>
      <c r="G824" s="4">
        <f t="shared" si="50"/>
        <v>195037.69035920285</v>
      </c>
      <c r="H824" s="4">
        <f t="shared" si="51"/>
        <v>-226947.23349711602</v>
      </c>
    </row>
    <row r="825" spans="2:8" x14ac:dyDescent="0.35">
      <c r="B825" s="5">
        <v>16568.31568346202</v>
      </c>
      <c r="C825" s="6">
        <f t="shared" si="48"/>
        <v>300000</v>
      </c>
      <c r="D825" s="5">
        <f t="shared" si="49"/>
        <v>550000</v>
      </c>
      <c r="F825" s="4">
        <v>3757.3168126468704</v>
      </c>
      <c r="G825" s="4">
        <f t="shared" si="50"/>
        <v>187865.84063234352</v>
      </c>
      <c r="H825" s="4">
        <f t="shared" si="51"/>
        <v>-236987.82311471907</v>
      </c>
    </row>
    <row r="826" spans="2:8" x14ac:dyDescent="0.35">
      <c r="B826" s="5">
        <v>12459.150975066377</v>
      </c>
      <c r="C826" s="6">
        <f t="shared" si="48"/>
        <v>300000</v>
      </c>
      <c r="D826" s="5">
        <f t="shared" si="49"/>
        <v>372140.56825464638</v>
      </c>
      <c r="F826" s="4">
        <v>7106.5706350901819</v>
      </c>
      <c r="G826" s="4">
        <f t="shared" si="50"/>
        <v>300000</v>
      </c>
      <c r="H826" s="4">
        <f t="shared" si="51"/>
        <v>-80000</v>
      </c>
    </row>
    <row r="827" spans="2:8" x14ac:dyDescent="0.35">
      <c r="B827" s="5">
        <v>13078.67671742912</v>
      </c>
      <c r="C827" s="6">
        <f t="shared" si="48"/>
        <v>300000</v>
      </c>
      <c r="D827" s="5">
        <f t="shared" si="49"/>
        <v>415507.37022003834</v>
      </c>
      <c r="F827" s="4">
        <v>7772.4845118564408</v>
      </c>
      <c r="G827" s="4">
        <f t="shared" si="50"/>
        <v>300000</v>
      </c>
      <c r="H827" s="4">
        <f t="shared" si="51"/>
        <v>-80000</v>
      </c>
    </row>
    <row r="828" spans="2:8" x14ac:dyDescent="0.35">
      <c r="B828" s="5">
        <v>15550.218207342754</v>
      </c>
      <c r="C828" s="6">
        <f t="shared" si="48"/>
        <v>300000</v>
      </c>
      <c r="D828" s="5">
        <f t="shared" si="49"/>
        <v>550000</v>
      </c>
      <c r="F828" s="4">
        <v>7724.5704519791252</v>
      </c>
      <c r="G828" s="4">
        <f t="shared" si="50"/>
        <v>300000</v>
      </c>
      <c r="H828" s="4">
        <f t="shared" si="51"/>
        <v>-80000</v>
      </c>
    </row>
    <row r="829" spans="2:8" x14ac:dyDescent="0.35">
      <c r="B829" s="5">
        <v>15025.757621997742</v>
      </c>
      <c r="C829" s="6">
        <f t="shared" si="48"/>
        <v>300000</v>
      </c>
      <c r="D829" s="5">
        <f t="shared" si="49"/>
        <v>550000</v>
      </c>
      <c r="F829" s="4">
        <v>7251.3809625537888</v>
      </c>
      <c r="G829" s="4">
        <f t="shared" si="50"/>
        <v>300000</v>
      </c>
      <c r="H829" s="4">
        <f t="shared" si="51"/>
        <v>-80000</v>
      </c>
    </row>
    <row r="830" spans="2:8" x14ac:dyDescent="0.35">
      <c r="B830" s="5">
        <v>13788.842432935575</v>
      </c>
      <c r="C830" s="6">
        <f t="shared" si="48"/>
        <v>300000</v>
      </c>
      <c r="D830" s="5">
        <f t="shared" si="49"/>
        <v>465218.97030549019</v>
      </c>
      <c r="F830" s="4">
        <v>7325.2357554857017</v>
      </c>
      <c r="G830" s="4">
        <f t="shared" si="50"/>
        <v>300000</v>
      </c>
      <c r="H830" s="4">
        <f t="shared" si="51"/>
        <v>-80000</v>
      </c>
    </row>
    <row r="831" spans="2:8" x14ac:dyDescent="0.35">
      <c r="B831" s="5">
        <v>14853.480636005737</v>
      </c>
      <c r="C831" s="6">
        <f t="shared" si="48"/>
        <v>300000</v>
      </c>
      <c r="D831" s="5">
        <f t="shared" si="49"/>
        <v>539743.64452040161</v>
      </c>
      <c r="F831" s="4">
        <v>3227.2103030487992</v>
      </c>
      <c r="G831" s="4">
        <f t="shared" si="50"/>
        <v>161360.51515243997</v>
      </c>
      <c r="H831" s="4">
        <f t="shared" si="51"/>
        <v>-274095.27878658404</v>
      </c>
    </row>
    <row r="832" spans="2:8" x14ac:dyDescent="0.35">
      <c r="B832" s="5">
        <v>15326.822717978454</v>
      </c>
      <c r="C832" s="6">
        <f t="shared" si="48"/>
        <v>300000</v>
      </c>
      <c r="D832" s="5">
        <f t="shared" si="49"/>
        <v>550000</v>
      </c>
      <c r="F832" s="4">
        <v>3387.7376628925444</v>
      </c>
      <c r="G832" s="4">
        <f t="shared" si="50"/>
        <v>169386.88314462721</v>
      </c>
      <c r="H832" s="4">
        <f t="shared" si="51"/>
        <v>-262858.36359752191</v>
      </c>
    </row>
    <row r="833" spans="2:8" x14ac:dyDescent="0.35">
      <c r="B833" s="5">
        <v>13215.399639881589</v>
      </c>
      <c r="C833" s="6">
        <f t="shared" si="48"/>
        <v>300000</v>
      </c>
      <c r="D833" s="5">
        <f t="shared" si="49"/>
        <v>425077.9747917112</v>
      </c>
      <c r="F833" s="4">
        <v>3092.4710837122716</v>
      </c>
      <c r="G833" s="4">
        <f t="shared" si="50"/>
        <v>154623.55418561358</v>
      </c>
      <c r="H833" s="4">
        <f t="shared" si="51"/>
        <v>-283527.02414014097</v>
      </c>
    </row>
    <row r="834" spans="2:8" x14ac:dyDescent="0.35">
      <c r="B834" s="5">
        <v>13193.731498153629</v>
      </c>
      <c r="C834" s="6">
        <f t="shared" si="48"/>
        <v>300000</v>
      </c>
      <c r="D834" s="5">
        <f t="shared" si="49"/>
        <v>423561.20487075404</v>
      </c>
      <c r="F834" s="4">
        <v>4559.6484267708365</v>
      </c>
      <c r="G834" s="4">
        <f t="shared" si="50"/>
        <v>227982.42133854184</v>
      </c>
      <c r="H834" s="4">
        <f t="shared" si="51"/>
        <v>-180824.61012604146</v>
      </c>
    </row>
    <row r="835" spans="2:8" x14ac:dyDescent="0.35">
      <c r="B835" s="5">
        <v>15116.702780236214</v>
      </c>
      <c r="C835" s="6">
        <f t="shared" si="48"/>
        <v>300000</v>
      </c>
      <c r="D835" s="5">
        <f t="shared" si="49"/>
        <v>550000</v>
      </c>
      <c r="F835" s="4">
        <v>7494.9186681722467</v>
      </c>
      <c r="G835" s="4">
        <f t="shared" si="50"/>
        <v>300000</v>
      </c>
      <c r="H835" s="4">
        <f t="shared" si="51"/>
        <v>-80000</v>
      </c>
    </row>
    <row r="836" spans="2:8" x14ac:dyDescent="0.35">
      <c r="B836" s="5">
        <v>12902.890102847377</v>
      </c>
      <c r="C836" s="6">
        <f t="shared" si="48"/>
        <v>300000</v>
      </c>
      <c r="D836" s="5">
        <f t="shared" si="49"/>
        <v>403202.30719931645</v>
      </c>
      <c r="F836" s="4">
        <v>6940.0921658986172</v>
      </c>
      <c r="G836" s="4">
        <f t="shared" si="50"/>
        <v>300000</v>
      </c>
      <c r="H836" s="4">
        <f t="shared" si="51"/>
        <v>-80000</v>
      </c>
    </row>
    <row r="837" spans="2:8" x14ac:dyDescent="0.35">
      <c r="B837" s="5">
        <v>13993.011261329997</v>
      </c>
      <c r="C837" s="6">
        <f t="shared" si="48"/>
        <v>300000</v>
      </c>
      <c r="D837" s="5">
        <f t="shared" si="49"/>
        <v>479510.78829309985</v>
      </c>
      <c r="F837" s="4">
        <v>5567.5222022156431</v>
      </c>
      <c r="G837" s="4">
        <f t="shared" si="50"/>
        <v>278376.11011078215</v>
      </c>
      <c r="H837" s="4">
        <f t="shared" si="51"/>
        <v>-110273.44584490499</v>
      </c>
    </row>
    <row r="838" spans="2:8" x14ac:dyDescent="0.35">
      <c r="B838" s="5">
        <v>14532.120731223487</v>
      </c>
      <c r="C838" s="6">
        <f t="shared" si="48"/>
        <v>300000</v>
      </c>
      <c r="D838" s="5">
        <f t="shared" si="49"/>
        <v>517248.45118564414</v>
      </c>
      <c r="F838" s="4">
        <v>6147.0686971648302</v>
      </c>
      <c r="G838" s="4">
        <f t="shared" si="50"/>
        <v>300000</v>
      </c>
      <c r="H838" s="4">
        <f t="shared" si="51"/>
        <v>-80000</v>
      </c>
    </row>
    <row r="839" spans="2:8" x14ac:dyDescent="0.35">
      <c r="B839" s="5">
        <v>12519.730216376232</v>
      </c>
      <c r="C839" s="6">
        <f t="shared" si="48"/>
        <v>300000</v>
      </c>
      <c r="D839" s="5">
        <f t="shared" si="49"/>
        <v>376381.11514633626</v>
      </c>
      <c r="F839" s="4">
        <v>5470.0155644398328</v>
      </c>
      <c r="G839" s="4">
        <f t="shared" si="50"/>
        <v>273500.77822199161</v>
      </c>
      <c r="H839" s="4">
        <f t="shared" si="51"/>
        <v>-117098.91048921167</v>
      </c>
    </row>
    <row r="840" spans="2:8" x14ac:dyDescent="0.35">
      <c r="B840" s="5">
        <v>14143.162327951903</v>
      </c>
      <c r="C840" s="6">
        <f t="shared" si="48"/>
        <v>300000</v>
      </c>
      <c r="D840" s="5">
        <f t="shared" si="49"/>
        <v>490021.36295663321</v>
      </c>
      <c r="F840" s="4">
        <v>5476.7296365245529</v>
      </c>
      <c r="G840" s="4">
        <f t="shared" si="50"/>
        <v>273836.48182622762</v>
      </c>
      <c r="H840" s="4">
        <f t="shared" si="51"/>
        <v>-116628.9254432813</v>
      </c>
    </row>
    <row r="841" spans="2:8" x14ac:dyDescent="0.35">
      <c r="B841" s="5">
        <v>16808.648945585497</v>
      </c>
      <c r="C841" s="6">
        <f t="shared" si="48"/>
        <v>300000</v>
      </c>
      <c r="D841" s="5">
        <f t="shared" si="49"/>
        <v>550000</v>
      </c>
      <c r="F841" s="4">
        <v>5550.5844294564649</v>
      </c>
      <c r="G841" s="4">
        <f t="shared" si="50"/>
        <v>277529.22147282324</v>
      </c>
      <c r="H841" s="4">
        <f t="shared" si="51"/>
        <v>-111459.08993804746</v>
      </c>
    </row>
    <row r="842" spans="2:8" x14ac:dyDescent="0.35">
      <c r="B842" s="5">
        <v>15823.053682058169</v>
      </c>
      <c r="C842" s="6">
        <f t="shared" si="48"/>
        <v>300000</v>
      </c>
      <c r="D842" s="5">
        <f t="shared" si="49"/>
        <v>550000</v>
      </c>
      <c r="F842" s="4">
        <v>5483.7488937040316</v>
      </c>
      <c r="G842" s="4">
        <f t="shared" si="50"/>
        <v>274187.44468520157</v>
      </c>
      <c r="H842" s="4">
        <f t="shared" si="51"/>
        <v>-116137.57744071778</v>
      </c>
    </row>
    <row r="843" spans="2:8" x14ac:dyDescent="0.35">
      <c r="B843" s="5">
        <v>16397.869808038577</v>
      </c>
      <c r="C843" s="6">
        <f t="shared" si="48"/>
        <v>300000</v>
      </c>
      <c r="D843" s="5">
        <f t="shared" si="49"/>
        <v>550000</v>
      </c>
      <c r="F843" s="4">
        <v>6409.3752861110261</v>
      </c>
      <c r="G843" s="4">
        <f t="shared" si="50"/>
        <v>300000</v>
      </c>
      <c r="H843" s="4">
        <f t="shared" si="51"/>
        <v>-80000</v>
      </c>
    </row>
    <row r="844" spans="2:8" x14ac:dyDescent="0.35">
      <c r="B844" s="5">
        <v>13369.060335093234</v>
      </c>
      <c r="C844" s="6">
        <f t="shared" ref="C844:C907" si="52">50*MIN(B844,6000)</f>
        <v>300000</v>
      </c>
      <c r="D844" s="5">
        <f t="shared" ref="D844:D907" si="53">70*MIN(B844,15000)-500000</f>
        <v>435834.22345652641</v>
      </c>
      <c r="F844" s="4">
        <v>5390.0570696127197</v>
      </c>
      <c r="G844" s="4">
        <f t="shared" ref="G844:G907" si="54">50*MIN(F844,6000)</f>
        <v>269502.85348063597</v>
      </c>
      <c r="H844" s="4">
        <f t="shared" ref="H844:H907" si="55">70*MIN(F844,6000)-500000</f>
        <v>-122696.00512710965</v>
      </c>
    </row>
    <row r="845" spans="2:8" x14ac:dyDescent="0.35">
      <c r="B845" s="5">
        <v>14216.864528336437</v>
      </c>
      <c r="C845" s="6">
        <f t="shared" si="52"/>
        <v>300000</v>
      </c>
      <c r="D845" s="5">
        <f t="shared" si="53"/>
        <v>495180.51698355062</v>
      </c>
      <c r="F845" s="4">
        <v>3876.9493697927792</v>
      </c>
      <c r="G845" s="4">
        <f t="shared" si="54"/>
        <v>193847.46848963897</v>
      </c>
      <c r="H845" s="4">
        <f t="shared" si="55"/>
        <v>-228613.54411450546</v>
      </c>
    </row>
    <row r="846" spans="2:8" x14ac:dyDescent="0.35">
      <c r="B846" s="5">
        <v>15341.929380169073</v>
      </c>
      <c r="C846" s="6">
        <f t="shared" si="52"/>
        <v>300000</v>
      </c>
      <c r="D846" s="5">
        <f t="shared" si="53"/>
        <v>550000</v>
      </c>
      <c r="F846" s="4">
        <v>7526.5053254799041</v>
      </c>
      <c r="G846" s="4">
        <f t="shared" si="54"/>
        <v>300000</v>
      </c>
      <c r="H846" s="4">
        <f t="shared" si="55"/>
        <v>-80000</v>
      </c>
    </row>
    <row r="847" spans="2:8" x14ac:dyDescent="0.35">
      <c r="B847" s="5">
        <v>16603.869747001558</v>
      </c>
      <c r="C847" s="6">
        <f t="shared" si="52"/>
        <v>300000</v>
      </c>
      <c r="D847" s="5">
        <f t="shared" si="53"/>
        <v>550000</v>
      </c>
      <c r="F847" s="4">
        <v>5553.4836878566857</v>
      </c>
      <c r="G847" s="4">
        <f t="shared" si="54"/>
        <v>277674.18439283432</v>
      </c>
      <c r="H847" s="4">
        <f t="shared" si="55"/>
        <v>-111256.14185003203</v>
      </c>
    </row>
    <row r="848" spans="2:8" x14ac:dyDescent="0.35">
      <c r="B848" s="5">
        <v>14481.002227851191</v>
      </c>
      <c r="C848" s="6">
        <f t="shared" si="52"/>
        <v>300000</v>
      </c>
      <c r="D848" s="5">
        <f t="shared" si="53"/>
        <v>513670.15594958339</v>
      </c>
      <c r="F848" s="4">
        <v>3128.4829248939482</v>
      </c>
      <c r="G848" s="4">
        <f t="shared" si="54"/>
        <v>156424.14624469742</v>
      </c>
      <c r="H848" s="4">
        <f t="shared" si="55"/>
        <v>-281006.19525742362</v>
      </c>
    </row>
    <row r="849" spans="2:8" x14ac:dyDescent="0.35">
      <c r="B849" s="5">
        <v>16638.660847804193</v>
      </c>
      <c r="C849" s="6">
        <f t="shared" si="52"/>
        <v>300000</v>
      </c>
      <c r="D849" s="5">
        <f t="shared" si="53"/>
        <v>550000</v>
      </c>
      <c r="F849" s="4">
        <v>7189.886165959655</v>
      </c>
      <c r="G849" s="4">
        <f t="shared" si="54"/>
        <v>300000</v>
      </c>
      <c r="H849" s="4">
        <f t="shared" si="55"/>
        <v>-80000</v>
      </c>
    </row>
    <row r="850" spans="2:8" x14ac:dyDescent="0.35">
      <c r="B850" s="5">
        <v>12962.401196325571</v>
      </c>
      <c r="C850" s="6">
        <f t="shared" si="52"/>
        <v>300000</v>
      </c>
      <c r="D850" s="5">
        <f t="shared" si="53"/>
        <v>407368.08374278992</v>
      </c>
      <c r="F850" s="4">
        <v>6880.2758873256626</v>
      </c>
      <c r="G850" s="4">
        <f t="shared" si="54"/>
        <v>300000</v>
      </c>
      <c r="H850" s="4">
        <f t="shared" si="55"/>
        <v>-80000</v>
      </c>
    </row>
    <row r="851" spans="2:8" x14ac:dyDescent="0.35">
      <c r="B851" s="5">
        <v>12610.980559709464</v>
      </c>
      <c r="C851" s="6">
        <f t="shared" si="52"/>
        <v>300000</v>
      </c>
      <c r="D851" s="5">
        <f t="shared" si="53"/>
        <v>382768.63917966245</v>
      </c>
      <c r="F851" s="4">
        <v>7984.8933378093816</v>
      </c>
      <c r="G851" s="4">
        <f t="shared" si="54"/>
        <v>300000</v>
      </c>
      <c r="H851" s="4">
        <f t="shared" si="55"/>
        <v>-80000</v>
      </c>
    </row>
    <row r="852" spans="2:8" x14ac:dyDescent="0.35">
      <c r="B852" s="5">
        <v>14276.52821436201</v>
      </c>
      <c r="C852" s="6">
        <f t="shared" si="52"/>
        <v>300000</v>
      </c>
      <c r="D852" s="5">
        <f t="shared" si="53"/>
        <v>499356.97500534065</v>
      </c>
      <c r="F852" s="4">
        <v>4248.3596301156649</v>
      </c>
      <c r="G852" s="4">
        <f t="shared" si="54"/>
        <v>212417.98150578325</v>
      </c>
      <c r="H852" s="4">
        <f t="shared" si="55"/>
        <v>-202614.82589190349</v>
      </c>
    </row>
    <row r="853" spans="2:8" x14ac:dyDescent="0.35">
      <c r="B853" s="5">
        <v>15529.465620899075</v>
      </c>
      <c r="C853" s="6">
        <f t="shared" si="52"/>
        <v>300000</v>
      </c>
      <c r="D853" s="5">
        <f t="shared" si="53"/>
        <v>550000</v>
      </c>
      <c r="F853" s="4">
        <v>3910.8249153111365</v>
      </c>
      <c r="G853" s="4">
        <f t="shared" si="54"/>
        <v>195541.24576555681</v>
      </c>
      <c r="H853" s="4">
        <f t="shared" si="55"/>
        <v>-226242.25592822046</v>
      </c>
    </row>
    <row r="854" spans="2:8" x14ac:dyDescent="0.35">
      <c r="B854" s="5">
        <v>16272.591326639607</v>
      </c>
      <c r="C854" s="6">
        <f t="shared" si="52"/>
        <v>300000</v>
      </c>
      <c r="D854" s="5">
        <f t="shared" si="53"/>
        <v>550000</v>
      </c>
      <c r="F854" s="4">
        <v>5508.1637012848296</v>
      </c>
      <c r="G854" s="4">
        <f t="shared" si="54"/>
        <v>275408.18506424146</v>
      </c>
      <c r="H854" s="4">
        <f t="shared" si="55"/>
        <v>-114428.54091006191</v>
      </c>
    </row>
    <row r="855" spans="2:8" x14ac:dyDescent="0.35">
      <c r="B855" s="5">
        <v>13288.949247718741</v>
      </c>
      <c r="C855" s="6">
        <f t="shared" si="52"/>
        <v>300000</v>
      </c>
      <c r="D855" s="5">
        <f t="shared" si="53"/>
        <v>430226.44734031195</v>
      </c>
      <c r="F855" s="4">
        <v>3628.0709250160221</v>
      </c>
      <c r="G855" s="4">
        <f t="shared" si="54"/>
        <v>181403.5462508011</v>
      </c>
      <c r="H855" s="4">
        <f t="shared" si="55"/>
        <v>-246035.03524887844</v>
      </c>
    </row>
    <row r="856" spans="2:8" x14ac:dyDescent="0.35">
      <c r="B856" s="5">
        <v>13746.879482406079</v>
      </c>
      <c r="C856" s="6">
        <f t="shared" si="52"/>
        <v>300000</v>
      </c>
      <c r="D856" s="5">
        <f t="shared" si="53"/>
        <v>462281.56376842549</v>
      </c>
      <c r="F856" s="4">
        <v>4036.2559892574845</v>
      </c>
      <c r="G856" s="4">
        <f t="shared" si="54"/>
        <v>201812.79946287422</v>
      </c>
      <c r="H856" s="4">
        <f t="shared" si="55"/>
        <v>-217462.08075197606</v>
      </c>
    </row>
    <row r="857" spans="2:8" x14ac:dyDescent="0.35">
      <c r="B857" s="5">
        <v>12614.490188299204</v>
      </c>
      <c r="C857" s="6">
        <f t="shared" si="52"/>
        <v>300000</v>
      </c>
      <c r="D857" s="5">
        <f t="shared" si="53"/>
        <v>383014.3131809443</v>
      </c>
      <c r="F857" s="4">
        <v>5497.1770378734709</v>
      </c>
      <c r="G857" s="4">
        <f t="shared" si="54"/>
        <v>274858.85189367353</v>
      </c>
      <c r="H857" s="4">
        <f t="shared" si="55"/>
        <v>-115197.60734885704</v>
      </c>
    </row>
    <row r="858" spans="2:8" x14ac:dyDescent="0.35">
      <c r="B858" s="5">
        <v>13497.543259987182</v>
      </c>
      <c r="C858" s="6">
        <f t="shared" si="52"/>
        <v>300000</v>
      </c>
      <c r="D858" s="5">
        <f t="shared" si="53"/>
        <v>444828.02819910273</v>
      </c>
      <c r="F858" s="4">
        <v>4588.4884182256537</v>
      </c>
      <c r="G858" s="4">
        <f t="shared" si="54"/>
        <v>229424.42091128268</v>
      </c>
      <c r="H858" s="4">
        <f t="shared" si="55"/>
        <v>-178805.81072420423</v>
      </c>
    </row>
    <row r="859" spans="2:8" x14ac:dyDescent="0.35">
      <c r="B859" s="5">
        <v>16259.620960112308</v>
      </c>
      <c r="C859" s="6">
        <f t="shared" si="52"/>
        <v>300000</v>
      </c>
      <c r="D859" s="5">
        <f t="shared" si="53"/>
        <v>550000</v>
      </c>
      <c r="F859" s="4">
        <v>4799.9816888943142</v>
      </c>
      <c r="G859" s="4">
        <f t="shared" si="54"/>
        <v>239999.0844447157</v>
      </c>
      <c r="H859" s="4">
        <f t="shared" si="55"/>
        <v>-164001.28177739802</v>
      </c>
    </row>
    <row r="860" spans="2:8" x14ac:dyDescent="0.35">
      <c r="B860" s="5">
        <v>15634.754478591265</v>
      </c>
      <c r="C860" s="6">
        <f t="shared" si="52"/>
        <v>300000</v>
      </c>
      <c r="D860" s="5">
        <f t="shared" si="53"/>
        <v>550000</v>
      </c>
      <c r="F860" s="4">
        <v>5486.0377819147316</v>
      </c>
      <c r="G860" s="4">
        <f t="shared" si="54"/>
        <v>274301.88909573655</v>
      </c>
      <c r="H860" s="4">
        <f t="shared" si="55"/>
        <v>-115977.35526596877</v>
      </c>
    </row>
    <row r="861" spans="2:8" x14ac:dyDescent="0.35">
      <c r="B861" s="5">
        <v>15343.607898190252</v>
      </c>
      <c r="C861" s="6">
        <f t="shared" si="52"/>
        <v>300000</v>
      </c>
      <c r="D861" s="5">
        <f t="shared" si="53"/>
        <v>550000</v>
      </c>
      <c r="F861" s="4">
        <v>5635.5784783471172</v>
      </c>
      <c r="G861" s="4">
        <f t="shared" si="54"/>
        <v>281778.92391735583</v>
      </c>
      <c r="H861" s="4">
        <f t="shared" si="55"/>
        <v>-105509.50651570177</v>
      </c>
    </row>
    <row r="862" spans="2:8" x14ac:dyDescent="0.35">
      <c r="B862" s="5">
        <v>12760.67384868923</v>
      </c>
      <c r="C862" s="6">
        <f t="shared" si="52"/>
        <v>300000</v>
      </c>
      <c r="D862" s="5">
        <f t="shared" si="53"/>
        <v>393247.16940824606</v>
      </c>
      <c r="F862" s="4">
        <v>7555.8030945768605</v>
      </c>
      <c r="G862" s="4">
        <f t="shared" si="54"/>
        <v>300000</v>
      </c>
      <c r="H862" s="4">
        <f t="shared" si="55"/>
        <v>-80000</v>
      </c>
    </row>
    <row r="863" spans="2:8" x14ac:dyDescent="0.35">
      <c r="B863" s="5">
        <v>13239.356669820247</v>
      </c>
      <c r="C863" s="6">
        <f t="shared" si="52"/>
        <v>300000</v>
      </c>
      <c r="D863" s="5">
        <f t="shared" si="53"/>
        <v>426754.96688741725</v>
      </c>
      <c r="F863" s="4">
        <v>5213.6600848414564</v>
      </c>
      <c r="G863" s="4">
        <f t="shared" si="54"/>
        <v>260683.00424207281</v>
      </c>
      <c r="H863" s="4">
        <f t="shared" si="55"/>
        <v>-135043.79406109807</v>
      </c>
    </row>
    <row r="864" spans="2:8" x14ac:dyDescent="0.35">
      <c r="B864" s="5">
        <v>14030.701620532853</v>
      </c>
      <c r="C864" s="6">
        <f t="shared" si="52"/>
        <v>300000</v>
      </c>
      <c r="D864" s="5">
        <f t="shared" si="53"/>
        <v>482149.11343729973</v>
      </c>
      <c r="F864" s="4">
        <v>7910.4281746879478</v>
      </c>
      <c r="G864" s="4">
        <f t="shared" si="54"/>
        <v>300000</v>
      </c>
      <c r="H864" s="4">
        <f t="shared" si="55"/>
        <v>-80000</v>
      </c>
    </row>
    <row r="865" spans="2:8" x14ac:dyDescent="0.35">
      <c r="B865" s="5">
        <v>16221.472823267311</v>
      </c>
      <c r="C865" s="6">
        <f t="shared" si="52"/>
        <v>300000</v>
      </c>
      <c r="D865" s="5">
        <f t="shared" si="53"/>
        <v>550000</v>
      </c>
      <c r="F865" s="4">
        <v>7533.371990112003</v>
      </c>
      <c r="G865" s="4">
        <f t="shared" si="54"/>
        <v>300000</v>
      </c>
      <c r="H865" s="4">
        <f t="shared" si="55"/>
        <v>-80000</v>
      </c>
    </row>
    <row r="866" spans="2:8" x14ac:dyDescent="0.35">
      <c r="B866" s="5">
        <v>14713.24808496353</v>
      </c>
      <c r="C866" s="6">
        <f t="shared" si="52"/>
        <v>300000</v>
      </c>
      <c r="D866" s="5">
        <f t="shared" si="53"/>
        <v>529927.36594744714</v>
      </c>
      <c r="F866" s="4">
        <v>3853.1449324015016</v>
      </c>
      <c r="G866" s="4">
        <f t="shared" si="54"/>
        <v>192657.24662007508</v>
      </c>
      <c r="H866" s="4">
        <f t="shared" si="55"/>
        <v>-230279.85473189491</v>
      </c>
    </row>
    <row r="867" spans="2:8" x14ac:dyDescent="0.35">
      <c r="B867" s="5">
        <v>15274.788659321879</v>
      </c>
      <c r="C867" s="6">
        <f t="shared" si="52"/>
        <v>300000</v>
      </c>
      <c r="D867" s="5">
        <f t="shared" si="53"/>
        <v>550000</v>
      </c>
      <c r="F867" s="4">
        <v>6844.264046143986</v>
      </c>
      <c r="G867" s="4">
        <f t="shared" si="54"/>
        <v>300000</v>
      </c>
      <c r="H867" s="4">
        <f t="shared" si="55"/>
        <v>-80000</v>
      </c>
    </row>
    <row r="868" spans="2:8" x14ac:dyDescent="0.35">
      <c r="B868" s="5">
        <v>14294.53413495285</v>
      </c>
      <c r="C868" s="6">
        <f t="shared" si="52"/>
        <v>300000</v>
      </c>
      <c r="D868" s="5">
        <f t="shared" si="53"/>
        <v>500617.38944669953</v>
      </c>
      <c r="F868" s="4">
        <v>6967.8640095217743</v>
      </c>
      <c r="G868" s="4">
        <f t="shared" si="54"/>
        <v>300000</v>
      </c>
      <c r="H868" s="4">
        <f t="shared" si="55"/>
        <v>-80000</v>
      </c>
    </row>
    <row r="869" spans="2:8" x14ac:dyDescent="0.35">
      <c r="B869" s="5">
        <v>16173.558763389996</v>
      </c>
      <c r="C869" s="6">
        <f t="shared" si="52"/>
        <v>300000</v>
      </c>
      <c r="D869" s="5">
        <f t="shared" si="53"/>
        <v>550000</v>
      </c>
      <c r="F869" s="4">
        <v>6960.5395672475352</v>
      </c>
      <c r="G869" s="4">
        <f t="shared" si="54"/>
        <v>300000</v>
      </c>
      <c r="H869" s="4">
        <f t="shared" si="55"/>
        <v>-80000</v>
      </c>
    </row>
    <row r="870" spans="2:8" x14ac:dyDescent="0.35">
      <c r="B870" s="5">
        <v>13065.095980712302</v>
      </c>
      <c r="C870" s="6">
        <f t="shared" si="52"/>
        <v>300000</v>
      </c>
      <c r="D870" s="5">
        <f t="shared" si="53"/>
        <v>414556.71864986117</v>
      </c>
      <c r="F870" s="4">
        <v>5430.1889095736569</v>
      </c>
      <c r="G870" s="4">
        <f t="shared" si="54"/>
        <v>271509.44547868287</v>
      </c>
      <c r="H870" s="4">
        <f t="shared" si="55"/>
        <v>-119886.77632984403</v>
      </c>
    </row>
    <row r="871" spans="2:8" x14ac:dyDescent="0.35">
      <c r="B871" s="5">
        <v>14275.612659077731</v>
      </c>
      <c r="C871" s="6">
        <f t="shared" si="52"/>
        <v>300000</v>
      </c>
      <c r="D871" s="5">
        <f t="shared" si="53"/>
        <v>499292.88613544113</v>
      </c>
      <c r="F871" s="4">
        <v>3562.4561296426282</v>
      </c>
      <c r="G871" s="4">
        <f t="shared" si="54"/>
        <v>178122.80648213142</v>
      </c>
      <c r="H871" s="4">
        <f t="shared" si="55"/>
        <v>-250628.07092501601</v>
      </c>
    </row>
    <row r="872" spans="2:8" x14ac:dyDescent="0.35">
      <c r="B872" s="5">
        <v>14078.005310220649</v>
      </c>
      <c r="C872" s="6">
        <f t="shared" si="52"/>
        <v>300000</v>
      </c>
      <c r="D872" s="5">
        <f t="shared" si="53"/>
        <v>485460.37171544542</v>
      </c>
      <c r="F872" s="4">
        <v>4388.2869960631124</v>
      </c>
      <c r="G872" s="4">
        <f t="shared" si="54"/>
        <v>219414.34980315561</v>
      </c>
      <c r="H872" s="4">
        <f t="shared" si="55"/>
        <v>-192819.91027558211</v>
      </c>
    </row>
    <row r="873" spans="2:8" x14ac:dyDescent="0.35">
      <c r="B873" s="5">
        <v>14600.634784997101</v>
      </c>
      <c r="C873" s="6">
        <f t="shared" si="52"/>
        <v>300000</v>
      </c>
      <c r="D873" s="5">
        <f t="shared" si="53"/>
        <v>522044.434949797</v>
      </c>
      <c r="F873" s="4">
        <v>6201.3916440321054</v>
      </c>
      <c r="G873" s="4">
        <f t="shared" si="54"/>
        <v>300000</v>
      </c>
      <c r="H873" s="4">
        <f t="shared" si="55"/>
        <v>-80000</v>
      </c>
    </row>
    <row r="874" spans="2:8" x14ac:dyDescent="0.35">
      <c r="B874" s="5">
        <v>15046.815393536181</v>
      </c>
      <c r="C874" s="6">
        <f t="shared" si="52"/>
        <v>300000</v>
      </c>
      <c r="D874" s="5">
        <f t="shared" si="53"/>
        <v>550000</v>
      </c>
      <c r="F874" s="4">
        <v>5515.1829584643092</v>
      </c>
      <c r="G874" s="4">
        <f t="shared" si="54"/>
        <v>275759.14792321547</v>
      </c>
      <c r="H874" s="4">
        <f t="shared" si="55"/>
        <v>-113937.19290749833</v>
      </c>
    </row>
    <row r="875" spans="2:8" x14ac:dyDescent="0.35">
      <c r="B875" s="5">
        <v>14753.990295113987</v>
      </c>
      <c r="C875" s="6">
        <f t="shared" si="52"/>
        <v>300000</v>
      </c>
      <c r="D875" s="5">
        <f t="shared" si="53"/>
        <v>532779.32065797911</v>
      </c>
      <c r="F875" s="4">
        <v>7942.3200170903656</v>
      </c>
      <c r="G875" s="4">
        <f t="shared" si="54"/>
        <v>300000</v>
      </c>
      <c r="H875" s="4">
        <f t="shared" si="55"/>
        <v>-80000</v>
      </c>
    </row>
    <row r="876" spans="2:8" x14ac:dyDescent="0.35">
      <c r="B876" s="5">
        <v>13733.45133823664</v>
      </c>
      <c r="C876" s="6">
        <f t="shared" si="52"/>
        <v>300000</v>
      </c>
      <c r="D876" s="5">
        <f t="shared" si="53"/>
        <v>461341.59367656487</v>
      </c>
      <c r="F876" s="4">
        <v>3175.6340220343636</v>
      </c>
      <c r="G876" s="4">
        <f t="shared" si="54"/>
        <v>158781.70110171818</v>
      </c>
      <c r="H876" s="4">
        <f t="shared" si="55"/>
        <v>-277705.61845759454</v>
      </c>
    </row>
    <row r="877" spans="2:8" x14ac:dyDescent="0.35">
      <c r="B877" s="5">
        <v>16278.389843440047</v>
      </c>
      <c r="C877" s="6">
        <f t="shared" si="52"/>
        <v>300000</v>
      </c>
      <c r="D877" s="5">
        <f t="shared" si="53"/>
        <v>550000</v>
      </c>
      <c r="F877" s="4">
        <v>6569.1396832178716</v>
      </c>
      <c r="G877" s="4">
        <f t="shared" si="54"/>
        <v>300000</v>
      </c>
      <c r="H877" s="4">
        <f t="shared" si="55"/>
        <v>-80000</v>
      </c>
    </row>
    <row r="878" spans="2:8" x14ac:dyDescent="0.35">
      <c r="B878" s="5">
        <v>16334.238715781121</v>
      </c>
      <c r="C878" s="6">
        <f t="shared" si="52"/>
        <v>300000</v>
      </c>
      <c r="D878" s="5">
        <f t="shared" si="53"/>
        <v>550000</v>
      </c>
      <c r="F878" s="4">
        <v>6693.9603869747007</v>
      </c>
      <c r="G878" s="4">
        <f t="shared" si="54"/>
        <v>300000</v>
      </c>
      <c r="H878" s="4">
        <f t="shared" si="55"/>
        <v>-80000</v>
      </c>
    </row>
    <row r="879" spans="2:8" x14ac:dyDescent="0.35">
      <c r="B879" s="5">
        <v>12174.871059297464</v>
      </c>
      <c r="C879" s="6">
        <f t="shared" si="52"/>
        <v>300000</v>
      </c>
      <c r="D879" s="5">
        <f t="shared" si="53"/>
        <v>352240.9741508225</v>
      </c>
      <c r="F879" s="4">
        <v>5147.5875118259228</v>
      </c>
      <c r="G879" s="4">
        <f t="shared" si="54"/>
        <v>257379.37559129615</v>
      </c>
      <c r="H879" s="4">
        <f t="shared" si="55"/>
        <v>-139668.87417218543</v>
      </c>
    </row>
    <row r="880" spans="2:8" x14ac:dyDescent="0.35">
      <c r="B880" s="5">
        <v>16888.149662770469</v>
      </c>
      <c r="C880" s="6">
        <f t="shared" si="52"/>
        <v>300000</v>
      </c>
      <c r="D880" s="5">
        <f t="shared" si="53"/>
        <v>550000</v>
      </c>
      <c r="F880" s="4">
        <v>6570.6656086916719</v>
      </c>
      <c r="G880" s="4">
        <f t="shared" si="54"/>
        <v>300000</v>
      </c>
      <c r="H880" s="4">
        <f t="shared" si="55"/>
        <v>-80000</v>
      </c>
    </row>
    <row r="881" spans="2:8" x14ac:dyDescent="0.35">
      <c r="B881" s="5">
        <v>12758.69014557329</v>
      </c>
      <c r="C881" s="6">
        <f t="shared" si="52"/>
        <v>300000</v>
      </c>
      <c r="D881" s="5">
        <f t="shared" si="53"/>
        <v>393108.31019013026</v>
      </c>
      <c r="F881" s="4">
        <v>4642.0484023560293</v>
      </c>
      <c r="G881" s="4">
        <f t="shared" si="54"/>
        <v>232102.42011780146</v>
      </c>
      <c r="H881" s="4">
        <f t="shared" si="55"/>
        <v>-175056.61183507793</v>
      </c>
    </row>
    <row r="882" spans="2:8" x14ac:dyDescent="0.35">
      <c r="B882" s="5">
        <v>12467.848750267038</v>
      </c>
      <c r="C882" s="6">
        <f t="shared" si="52"/>
        <v>300000</v>
      </c>
      <c r="D882" s="5">
        <f t="shared" si="53"/>
        <v>372749.41251869267</v>
      </c>
      <c r="F882" s="4">
        <v>7828.0281991027559</v>
      </c>
      <c r="G882" s="4">
        <f t="shared" si="54"/>
        <v>300000</v>
      </c>
      <c r="H882" s="4">
        <f t="shared" si="55"/>
        <v>-80000</v>
      </c>
    </row>
    <row r="883" spans="2:8" x14ac:dyDescent="0.35">
      <c r="B883" s="5">
        <v>16824.060792870878</v>
      </c>
      <c r="C883" s="6">
        <f t="shared" si="52"/>
        <v>300000</v>
      </c>
      <c r="D883" s="5">
        <f t="shared" si="53"/>
        <v>550000</v>
      </c>
      <c r="F883" s="4">
        <v>5306.2837611011073</v>
      </c>
      <c r="G883" s="4">
        <f t="shared" si="54"/>
        <v>265314.18805505539</v>
      </c>
      <c r="H883" s="4">
        <f t="shared" si="55"/>
        <v>-128560.1367229225</v>
      </c>
    </row>
    <row r="884" spans="2:8" x14ac:dyDescent="0.35">
      <c r="B884" s="5">
        <v>14465.590380565813</v>
      </c>
      <c r="C884" s="6">
        <f t="shared" si="52"/>
        <v>300000</v>
      </c>
      <c r="D884" s="5">
        <f t="shared" si="53"/>
        <v>512591.32663960685</v>
      </c>
      <c r="F884" s="4">
        <v>6555.7115390484323</v>
      </c>
      <c r="G884" s="4">
        <f t="shared" si="54"/>
        <v>300000</v>
      </c>
      <c r="H884" s="4">
        <f t="shared" si="55"/>
        <v>-80000</v>
      </c>
    </row>
    <row r="885" spans="2:8" x14ac:dyDescent="0.35">
      <c r="B885" s="5">
        <v>13431.775872066408</v>
      </c>
      <c r="C885" s="6">
        <f t="shared" si="52"/>
        <v>300000</v>
      </c>
      <c r="D885" s="5">
        <f t="shared" si="53"/>
        <v>440224.31104464852</v>
      </c>
      <c r="F885" s="4">
        <v>4876.5831476790672</v>
      </c>
      <c r="G885" s="4">
        <f t="shared" si="54"/>
        <v>243829.15738395337</v>
      </c>
      <c r="H885" s="4">
        <f t="shared" si="55"/>
        <v>-158639.17966246529</v>
      </c>
    </row>
    <row r="886" spans="2:8" x14ac:dyDescent="0.35">
      <c r="B886" s="5">
        <v>16297.158726767786</v>
      </c>
      <c r="C886" s="6">
        <f t="shared" si="52"/>
        <v>300000</v>
      </c>
      <c r="D886" s="5">
        <f t="shared" si="53"/>
        <v>550000</v>
      </c>
      <c r="F886" s="4">
        <v>6839.5336771752063</v>
      </c>
      <c r="G886" s="4">
        <f t="shared" si="54"/>
        <v>300000</v>
      </c>
      <c r="H886" s="4">
        <f t="shared" si="55"/>
        <v>-80000</v>
      </c>
    </row>
    <row r="887" spans="2:8" x14ac:dyDescent="0.35">
      <c r="B887" s="5">
        <v>14598.345896786401</v>
      </c>
      <c r="C887" s="6">
        <f t="shared" si="52"/>
        <v>300000</v>
      </c>
      <c r="D887" s="5">
        <f t="shared" si="53"/>
        <v>521884.2127750481</v>
      </c>
      <c r="F887" s="4">
        <v>3276.1925107577745</v>
      </c>
      <c r="G887" s="4">
        <f t="shared" si="54"/>
        <v>163809.62553788873</v>
      </c>
      <c r="H887" s="4">
        <f t="shared" si="55"/>
        <v>-270666.52424695576</v>
      </c>
    </row>
    <row r="888" spans="2:8" x14ac:dyDescent="0.35">
      <c r="B888" s="5">
        <v>12936.155278176215</v>
      </c>
      <c r="C888" s="6">
        <f t="shared" si="52"/>
        <v>300000</v>
      </c>
      <c r="D888" s="5">
        <f t="shared" si="53"/>
        <v>405530.86947233509</v>
      </c>
      <c r="F888" s="4">
        <v>5180.0897244178595</v>
      </c>
      <c r="G888" s="4">
        <f t="shared" si="54"/>
        <v>259004.48622089298</v>
      </c>
      <c r="H888" s="4">
        <f t="shared" si="55"/>
        <v>-137393.71929074981</v>
      </c>
    </row>
    <row r="889" spans="2:8" x14ac:dyDescent="0.35">
      <c r="B889" s="5">
        <v>13898.403881954406</v>
      </c>
      <c r="C889" s="6">
        <f t="shared" si="52"/>
        <v>300000</v>
      </c>
      <c r="D889" s="5">
        <f t="shared" si="53"/>
        <v>472888.27173680835</v>
      </c>
      <c r="F889" s="4">
        <v>3753.0442213202305</v>
      </c>
      <c r="G889" s="4">
        <f t="shared" si="54"/>
        <v>187652.21106601151</v>
      </c>
      <c r="H889" s="4">
        <f t="shared" si="55"/>
        <v>-237286.90450758388</v>
      </c>
    </row>
    <row r="890" spans="2:8" x14ac:dyDescent="0.35">
      <c r="B890" s="5">
        <v>13481.521042512284</v>
      </c>
      <c r="C890" s="6">
        <f t="shared" si="52"/>
        <v>300000</v>
      </c>
      <c r="D890" s="5">
        <f t="shared" si="53"/>
        <v>443706.47297585988</v>
      </c>
      <c r="F890" s="4">
        <v>3899.0752891628772</v>
      </c>
      <c r="G890" s="4">
        <f t="shared" si="54"/>
        <v>194953.76445814385</v>
      </c>
      <c r="H890" s="4">
        <f t="shared" si="55"/>
        <v>-227064.72975859861</v>
      </c>
    </row>
    <row r="891" spans="2:8" x14ac:dyDescent="0.35">
      <c r="B891" s="5">
        <v>13629.23062837611</v>
      </c>
      <c r="C891" s="6">
        <f t="shared" si="52"/>
        <v>300000</v>
      </c>
      <c r="D891" s="5">
        <f t="shared" si="53"/>
        <v>454046.14398632769</v>
      </c>
      <c r="F891" s="4">
        <v>7210.7913449507132</v>
      </c>
      <c r="G891" s="4">
        <f t="shared" si="54"/>
        <v>300000</v>
      </c>
      <c r="H891" s="4">
        <f t="shared" si="55"/>
        <v>-80000</v>
      </c>
    </row>
    <row r="892" spans="2:8" x14ac:dyDescent="0.35">
      <c r="B892" s="5">
        <v>15077.028717917417</v>
      </c>
      <c r="C892" s="6">
        <f t="shared" si="52"/>
        <v>300000</v>
      </c>
      <c r="D892" s="5">
        <f t="shared" si="53"/>
        <v>550000</v>
      </c>
      <c r="F892" s="4">
        <v>4491.1343729972232</v>
      </c>
      <c r="G892" s="4">
        <f t="shared" si="54"/>
        <v>224556.71864986117</v>
      </c>
      <c r="H892" s="4">
        <f t="shared" si="55"/>
        <v>-185620.59389019437</v>
      </c>
    </row>
    <row r="893" spans="2:8" x14ac:dyDescent="0.35">
      <c r="B893" s="5">
        <v>16817.346720786158</v>
      </c>
      <c r="C893" s="6">
        <f t="shared" si="52"/>
        <v>300000</v>
      </c>
      <c r="D893" s="5">
        <f t="shared" si="53"/>
        <v>550000</v>
      </c>
      <c r="F893" s="4">
        <v>3111.6977446821497</v>
      </c>
      <c r="G893" s="4">
        <f t="shared" si="54"/>
        <v>155584.88723410747</v>
      </c>
      <c r="H893" s="4">
        <f t="shared" si="55"/>
        <v>-282181.15787224949</v>
      </c>
    </row>
    <row r="894" spans="2:8" x14ac:dyDescent="0.35">
      <c r="B894" s="5">
        <v>15579.97375408185</v>
      </c>
      <c r="C894" s="6">
        <f t="shared" si="52"/>
        <v>300000</v>
      </c>
      <c r="D894" s="5">
        <f t="shared" si="53"/>
        <v>550000</v>
      </c>
      <c r="F894" s="4">
        <v>7043.8550981170083</v>
      </c>
      <c r="G894" s="4">
        <f t="shared" si="54"/>
        <v>300000</v>
      </c>
      <c r="H894" s="4">
        <f t="shared" si="55"/>
        <v>-80000</v>
      </c>
    </row>
    <row r="895" spans="2:8" x14ac:dyDescent="0.35">
      <c r="B895" s="5">
        <v>13139.713736381114</v>
      </c>
      <c r="C895" s="6">
        <f t="shared" si="52"/>
        <v>300000</v>
      </c>
      <c r="D895" s="5">
        <f t="shared" si="53"/>
        <v>419779.96154667798</v>
      </c>
      <c r="F895" s="4">
        <v>4828.0587176122317</v>
      </c>
      <c r="G895" s="4">
        <f t="shared" si="54"/>
        <v>241402.93588061159</v>
      </c>
      <c r="H895" s="4">
        <f t="shared" si="55"/>
        <v>-162035.88976714376</v>
      </c>
    </row>
    <row r="896" spans="2:8" x14ac:dyDescent="0.35">
      <c r="B896" s="5">
        <v>14021.851252784814</v>
      </c>
      <c r="C896" s="6">
        <f t="shared" si="52"/>
        <v>300000</v>
      </c>
      <c r="D896" s="5">
        <f t="shared" si="53"/>
        <v>481529.58769493701</v>
      </c>
      <c r="F896" s="4">
        <v>3347.3006378368482</v>
      </c>
      <c r="G896" s="4">
        <f t="shared" si="54"/>
        <v>167365.0318918424</v>
      </c>
      <c r="H896" s="4">
        <f t="shared" si="55"/>
        <v>-265688.95535142062</v>
      </c>
    </row>
    <row r="897" spans="2:8" x14ac:dyDescent="0.35">
      <c r="B897" s="5">
        <v>12875.728629413739</v>
      </c>
      <c r="C897" s="6">
        <f t="shared" si="52"/>
        <v>300000</v>
      </c>
      <c r="D897" s="5">
        <f t="shared" si="53"/>
        <v>401301.00405896176</v>
      </c>
      <c r="F897" s="4">
        <v>7833.8267159031948</v>
      </c>
      <c r="G897" s="4">
        <f t="shared" si="54"/>
        <v>300000</v>
      </c>
      <c r="H897" s="4">
        <f t="shared" si="55"/>
        <v>-80000</v>
      </c>
    </row>
    <row r="898" spans="2:8" x14ac:dyDescent="0.35">
      <c r="B898" s="5">
        <v>12757.774590289011</v>
      </c>
      <c r="C898" s="6">
        <f t="shared" si="52"/>
        <v>300000</v>
      </c>
      <c r="D898" s="5">
        <f t="shared" si="53"/>
        <v>393044.22132023075</v>
      </c>
      <c r="F898" s="4">
        <v>4757.2557756279184</v>
      </c>
      <c r="G898" s="4">
        <f t="shared" si="54"/>
        <v>237862.78878139591</v>
      </c>
      <c r="H898" s="4">
        <f t="shared" si="55"/>
        <v>-166992.09570604569</v>
      </c>
    </row>
    <row r="899" spans="2:8" x14ac:dyDescent="0.35">
      <c r="B899" s="5">
        <v>13445.204016235846</v>
      </c>
      <c r="C899" s="6">
        <f t="shared" si="52"/>
        <v>300000</v>
      </c>
      <c r="D899" s="5">
        <f t="shared" si="53"/>
        <v>441164.28113650926</v>
      </c>
      <c r="F899" s="4">
        <v>3793.6338389233069</v>
      </c>
      <c r="G899" s="4">
        <f t="shared" si="54"/>
        <v>189681.69194616535</v>
      </c>
      <c r="H899" s="4">
        <f t="shared" si="55"/>
        <v>-234445.63127536851</v>
      </c>
    </row>
    <row r="900" spans="2:8" x14ac:dyDescent="0.35">
      <c r="B900" s="5">
        <v>13885.586107974486</v>
      </c>
      <c r="C900" s="6">
        <f t="shared" si="52"/>
        <v>300000</v>
      </c>
      <c r="D900" s="5">
        <f t="shared" si="53"/>
        <v>471991.02755821403</v>
      </c>
      <c r="F900" s="4">
        <v>6900.2655110324413</v>
      </c>
      <c r="G900" s="4">
        <f t="shared" si="54"/>
        <v>300000</v>
      </c>
      <c r="H900" s="4">
        <f t="shared" si="55"/>
        <v>-80000</v>
      </c>
    </row>
    <row r="901" spans="2:8" x14ac:dyDescent="0.35">
      <c r="B901" s="5">
        <v>12046.540726950896</v>
      </c>
      <c r="C901" s="6">
        <f t="shared" si="52"/>
        <v>300000</v>
      </c>
      <c r="D901" s="5">
        <f t="shared" si="53"/>
        <v>343257.85088656272</v>
      </c>
      <c r="F901" s="4">
        <v>5524.1859187597274</v>
      </c>
      <c r="G901" s="4">
        <f t="shared" si="54"/>
        <v>276209.29593798635</v>
      </c>
      <c r="H901" s="4">
        <f t="shared" si="55"/>
        <v>-113306.98568681907</v>
      </c>
    </row>
    <row r="902" spans="2:8" x14ac:dyDescent="0.35">
      <c r="B902" s="5">
        <v>15647.267067476425</v>
      </c>
      <c r="C902" s="6">
        <f t="shared" si="52"/>
        <v>300000</v>
      </c>
      <c r="D902" s="5">
        <f t="shared" si="53"/>
        <v>550000</v>
      </c>
      <c r="F902" s="4">
        <v>7546.6475417340616</v>
      </c>
      <c r="G902" s="4">
        <f t="shared" si="54"/>
        <v>300000</v>
      </c>
      <c r="H902" s="4">
        <f t="shared" si="55"/>
        <v>-80000</v>
      </c>
    </row>
    <row r="903" spans="2:8" x14ac:dyDescent="0.35">
      <c r="B903" s="5">
        <v>13502.883999145482</v>
      </c>
      <c r="C903" s="6">
        <f t="shared" si="52"/>
        <v>300000</v>
      </c>
      <c r="D903" s="5">
        <f t="shared" si="53"/>
        <v>445201.87994018372</v>
      </c>
      <c r="F903" s="4">
        <v>5118.2897427289645</v>
      </c>
      <c r="G903" s="4">
        <f t="shared" si="54"/>
        <v>255914.48713644821</v>
      </c>
      <c r="H903" s="4">
        <f t="shared" si="55"/>
        <v>-141719.71800897247</v>
      </c>
    </row>
    <row r="904" spans="2:8" x14ac:dyDescent="0.35">
      <c r="B904" s="5">
        <v>12740.531632435072</v>
      </c>
      <c r="C904" s="6">
        <f t="shared" si="52"/>
        <v>300000</v>
      </c>
      <c r="D904" s="5">
        <f t="shared" si="53"/>
        <v>391837.21427045506</v>
      </c>
      <c r="F904" s="4">
        <v>7021.4239936521499</v>
      </c>
      <c r="G904" s="4">
        <f t="shared" si="54"/>
        <v>300000</v>
      </c>
      <c r="H904" s="4">
        <f t="shared" si="55"/>
        <v>-80000</v>
      </c>
    </row>
    <row r="905" spans="2:8" x14ac:dyDescent="0.35">
      <c r="B905" s="5">
        <v>12782.341990417188</v>
      </c>
      <c r="C905" s="6">
        <f t="shared" si="52"/>
        <v>300000</v>
      </c>
      <c r="D905" s="5">
        <f t="shared" si="53"/>
        <v>394763.9393292031</v>
      </c>
      <c r="F905" s="4">
        <v>3354.1673024689476</v>
      </c>
      <c r="G905" s="4">
        <f t="shared" si="54"/>
        <v>167708.36512344738</v>
      </c>
      <c r="H905" s="4">
        <f t="shared" si="55"/>
        <v>-265208.28882717364</v>
      </c>
    </row>
    <row r="906" spans="2:8" x14ac:dyDescent="0.35">
      <c r="B906" s="5">
        <v>13385.235145115512</v>
      </c>
      <c r="C906" s="6">
        <f t="shared" si="52"/>
        <v>300000</v>
      </c>
      <c r="D906" s="5">
        <f t="shared" si="53"/>
        <v>436966.4601580858</v>
      </c>
      <c r="F906" s="4">
        <v>3042.1155430768763</v>
      </c>
      <c r="G906" s="4">
        <f t="shared" si="54"/>
        <v>152105.77715384381</v>
      </c>
      <c r="H906" s="4">
        <f t="shared" si="55"/>
        <v>-287051.91198461864</v>
      </c>
    </row>
    <row r="907" spans="2:8" x14ac:dyDescent="0.35">
      <c r="B907" s="5">
        <v>14916.653950621052</v>
      </c>
      <c r="C907" s="6">
        <f t="shared" si="52"/>
        <v>300000</v>
      </c>
      <c r="D907" s="5">
        <f t="shared" si="53"/>
        <v>544165.77654347359</v>
      </c>
      <c r="F907" s="4">
        <v>5982.1161534470657</v>
      </c>
      <c r="G907" s="4">
        <f t="shared" si="54"/>
        <v>299105.80767235329</v>
      </c>
      <c r="H907" s="4">
        <f t="shared" si="55"/>
        <v>-81251.86925870541</v>
      </c>
    </row>
    <row r="908" spans="2:8" x14ac:dyDescent="0.35">
      <c r="B908" s="5">
        <v>16227.11874752037</v>
      </c>
      <c r="C908" s="6">
        <f t="shared" ref="C908:C971" si="56">50*MIN(B908,6000)</f>
        <v>300000</v>
      </c>
      <c r="D908" s="5">
        <f t="shared" ref="D908:D971" si="57">70*MIN(B908,15000)-500000</f>
        <v>550000</v>
      </c>
      <c r="F908" s="4">
        <v>4458.7847529526662</v>
      </c>
      <c r="G908" s="4">
        <f t="shared" ref="G908:G971" si="58">50*MIN(F908,6000)</f>
        <v>222939.2376476333</v>
      </c>
      <c r="H908" s="4">
        <f t="shared" ref="H908:H971" si="59">70*MIN(F908,6000)-500000</f>
        <v>-187885.06729331339</v>
      </c>
    </row>
    <row r="909" spans="2:8" x14ac:dyDescent="0.35">
      <c r="B909" s="5">
        <v>14305.520798364209</v>
      </c>
      <c r="C909" s="6">
        <f t="shared" si="56"/>
        <v>300000</v>
      </c>
      <c r="D909" s="5">
        <f t="shared" si="57"/>
        <v>501386.45588549459</v>
      </c>
      <c r="F909" s="4">
        <v>4715.9031952879423</v>
      </c>
      <c r="G909" s="4">
        <f t="shared" si="58"/>
        <v>235795.1597643971</v>
      </c>
      <c r="H909" s="4">
        <f t="shared" si="59"/>
        <v>-169886.77632984403</v>
      </c>
    </row>
    <row r="910" spans="2:8" x14ac:dyDescent="0.35">
      <c r="B910" s="5">
        <v>12368.511001922667</v>
      </c>
      <c r="C910" s="6">
        <f t="shared" si="56"/>
        <v>300000</v>
      </c>
      <c r="D910" s="5">
        <f t="shared" si="57"/>
        <v>365795.77013458672</v>
      </c>
      <c r="F910" s="4">
        <v>6655.2018799401831</v>
      </c>
      <c r="G910" s="4">
        <f t="shared" si="58"/>
        <v>300000</v>
      </c>
      <c r="H910" s="4">
        <f t="shared" si="59"/>
        <v>-80000</v>
      </c>
    </row>
    <row r="911" spans="2:8" x14ac:dyDescent="0.35">
      <c r="B911" s="5">
        <v>13802.117984557633</v>
      </c>
      <c r="C911" s="6">
        <f t="shared" si="56"/>
        <v>300000</v>
      </c>
      <c r="D911" s="5">
        <f t="shared" si="57"/>
        <v>466148.25891903439</v>
      </c>
      <c r="F911" s="4">
        <v>5886.1354411450548</v>
      </c>
      <c r="G911" s="4">
        <f t="shared" si="58"/>
        <v>294306.77205725276</v>
      </c>
      <c r="H911" s="4">
        <f t="shared" si="59"/>
        <v>-87970.519119846169</v>
      </c>
    </row>
    <row r="912" spans="2:8" x14ac:dyDescent="0.35">
      <c r="B912" s="5">
        <v>12582.293160802026</v>
      </c>
      <c r="C912" s="6">
        <f t="shared" si="56"/>
        <v>300000</v>
      </c>
      <c r="D912" s="5">
        <f t="shared" si="57"/>
        <v>380760.52125614183</v>
      </c>
      <c r="F912" s="4">
        <v>6003.7842951750235</v>
      </c>
      <c r="G912" s="4">
        <f t="shared" si="58"/>
        <v>300000</v>
      </c>
      <c r="H912" s="4">
        <f t="shared" si="59"/>
        <v>-80000</v>
      </c>
    </row>
    <row r="913" spans="2:8" x14ac:dyDescent="0.35">
      <c r="B913" s="5">
        <v>14652.211066011536</v>
      </c>
      <c r="C913" s="6">
        <f t="shared" si="56"/>
        <v>300000</v>
      </c>
      <c r="D913" s="5">
        <f t="shared" si="57"/>
        <v>525654.7746208075</v>
      </c>
      <c r="F913" s="4">
        <v>5850.1235999633773</v>
      </c>
      <c r="G913" s="4">
        <f t="shared" si="58"/>
        <v>292506.17999816884</v>
      </c>
      <c r="H913" s="4">
        <f t="shared" si="59"/>
        <v>-90491.34800256358</v>
      </c>
    </row>
    <row r="914" spans="2:8" x14ac:dyDescent="0.35">
      <c r="B914" s="5">
        <v>12749.534592730492</v>
      </c>
      <c r="C914" s="6">
        <f t="shared" si="56"/>
        <v>300000</v>
      </c>
      <c r="D914" s="5">
        <f t="shared" si="57"/>
        <v>392467.42149113445</v>
      </c>
      <c r="F914" s="4">
        <v>7322.794274727622</v>
      </c>
      <c r="G914" s="4">
        <f t="shared" si="58"/>
        <v>300000</v>
      </c>
      <c r="H914" s="4">
        <f t="shared" si="59"/>
        <v>-80000</v>
      </c>
    </row>
    <row r="915" spans="2:8" x14ac:dyDescent="0.35">
      <c r="B915" s="5">
        <v>14420.880764183477</v>
      </c>
      <c r="C915" s="6">
        <f t="shared" si="56"/>
        <v>300000</v>
      </c>
      <c r="D915" s="5">
        <f t="shared" si="57"/>
        <v>509461.65349284338</v>
      </c>
      <c r="F915" s="4">
        <v>7543.1379131443218</v>
      </c>
      <c r="G915" s="4">
        <f t="shared" si="58"/>
        <v>300000</v>
      </c>
      <c r="H915" s="4">
        <f t="shared" si="59"/>
        <v>-80000</v>
      </c>
    </row>
    <row r="916" spans="2:8" x14ac:dyDescent="0.35">
      <c r="B916" s="5">
        <v>12363.933225501267</v>
      </c>
      <c r="C916" s="6">
        <f t="shared" si="56"/>
        <v>300000</v>
      </c>
      <c r="D916" s="5">
        <f t="shared" si="57"/>
        <v>365475.3257850887</v>
      </c>
      <c r="F916" s="4">
        <v>7447.3097933896906</v>
      </c>
      <c r="G916" s="4">
        <f t="shared" si="58"/>
        <v>300000</v>
      </c>
      <c r="H916" s="4">
        <f t="shared" si="59"/>
        <v>-80000</v>
      </c>
    </row>
    <row r="917" spans="2:8" x14ac:dyDescent="0.35">
      <c r="B917" s="5">
        <v>14622.150334177679</v>
      </c>
      <c r="C917" s="6">
        <f t="shared" si="56"/>
        <v>300000</v>
      </c>
      <c r="D917" s="5">
        <f t="shared" si="57"/>
        <v>523550.52339243749</v>
      </c>
      <c r="F917" s="4">
        <v>5098.7578966643268</v>
      </c>
      <c r="G917" s="4">
        <f t="shared" si="58"/>
        <v>254937.89483321633</v>
      </c>
      <c r="H917" s="4">
        <f t="shared" si="59"/>
        <v>-143086.94723349711</v>
      </c>
    </row>
    <row r="918" spans="2:8" x14ac:dyDescent="0.35">
      <c r="B918" s="5">
        <v>12209.662160100101</v>
      </c>
      <c r="C918" s="6">
        <f t="shared" si="56"/>
        <v>300000</v>
      </c>
      <c r="D918" s="5">
        <f t="shared" si="57"/>
        <v>354676.35120700707</v>
      </c>
      <c r="F918" s="4">
        <v>5372.3563341166418</v>
      </c>
      <c r="G918" s="4">
        <f t="shared" si="58"/>
        <v>268617.81670583208</v>
      </c>
      <c r="H918" s="4">
        <f t="shared" si="59"/>
        <v>-123935.05661183508</v>
      </c>
    </row>
    <row r="919" spans="2:8" x14ac:dyDescent="0.35">
      <c r="B919" s="5">
        <v>15987.395855586414</v>
      </c>
      <c r="C919" s="6">
        <f t="shared" si="56"/>
        <v>300000</v>
      </c>
      <c r="D919" s="5">
        <f t="shared" si="57"/>
        <v>550000</v>
      </c>
      <c r="F919" s="4">
        <v>6408.1545457319862</v>
      </c>
      <c r="G919" s="4">
        <f t="shared" si="58"/>
        <v>300000</v>
      </c>
      <c r="H919" s="4">
        <f t="shared" si="59"/>
        <v>-80000</v>
      </c>
    </row>
    <row r="920" spans="2:8" x14ac:dyDescent="0.35">
      <c r="B920" s="5">
        <v>13653.950621051668</v>
      </c>
      <c r="C920" s="6">
        <f t="shared" si="56"/>
        <v>300000</v>
      </c>
      <c r="D920" s="5">
        <f t="shared" si="57"/>
        <v>455776.54347361682</v>
      </c>
      <c r="F920" s="4">
        <v>5609.7903378399005</v>
      </c>
      <c r="G920" s="4">
        <f t="shared" si="58"/>
        <v>280489.51689199504</v>
      </c>
      <c r="H920" s="4">
        <f t="shared" si="59"/>
        <v>-107314.67635120696</v>
      </c>
    </row>
    <row r="921" spans="2:8" x14ac:dyDescent="0.35">
      <c r="B921" s="5">
        <v>15294.167912839137</v>
      </c>
      <c r="C921" s="6">
        <f t="shared" si="56"/>
        <v>300000</v>
      </c>
      <c r="D921" s="5">
        <f t="shared" si="57"/>
        <v>550000</v>
      </c>
      <c r="F921" s="4">
        <v>4942.3505355998414</v>
      </c>
      <c r="G921" s="4">
        <f t="shared" si="58"/>
        <v>247117.52677999207</v>
      </c>
      <c r="H921" s="4">
        <f t="shared" si="59"/>
        <v>-154035.46250801109</v>
      </c>
    </row>
    <row r="922" spans="2:8" x14ac:dyDescent="0.35">
      <c r="B922" s="5">
        <v>14038.331247901853</v>
      </c>
      <c r="C922" s="6">
        <f t="shared" si="56"/>
        <v>300000</v>
      </c>
      <c r="D922" s="5">
        <f t="shared" si="57"/>
        <v>482683.18735312973</v>
      </c>
      <c r="F922" s="4">
        <v>7036.9884334849085</v>
      </c>
      <c r="G922" s="4">
        <f t="shared" si="58"/>
        <v>300000</v>
      </c>
      <c r="H922" s="4">
        <f t="shared" si="59"/>
        <v>-80000</v>
      </c>
    </row>
    <row r="923" spans="2:8" x14ac:dyDescent="0.35">
      <c r="B923" s="5">
        <v>16555.955687124238</v>
      </c>
      <c r="C923" s="6">
        <f t="shared" si="56"/>
        <v>300000</v>
      </c>
      <c r="D923" s="5">
        <f t="shared" si="57"/>
        <v>550000</v>
      </c>
      <c r="F923" s="4">
        <v>5259.7430341502113</v>
      </c>
      <c r="G923" s="4">
        <f t="shared" si="58"/>
        <v>262987.15170751058</v>
      </c>
      <c r="H923" s="4">
        <f t="shared" si="59"/>
        <v>-131817.98760948522</v>
      </c>
    </row>
    <row r="924" spans="2:8" x14ac:dyDescent="0.35">
      <c r="B924" s="5">
        <v>16021.57658619953</v>
      </c>
      <c r="C924" s="6">
        <f t="shared" si="56"/>
        <v>300000</v>
      </c>
      <c r="D924" s="5">
        <f t="shared" si="57"/>
        <v>550000</v>
      </c>
      <c r="F924" s="4">
        <v>5224.1889706106758</v>
      </c>
      <c r="G924" s="4">
        <f t="shared" si="58"/>
        <v>261209.44853053379</v>
      </c>
      <c r="H924" s="4">
        <f t="shared" si="59"/>
        <v>-134306.7720572527</v>
      </c>
    </row>
    <row r="925" spans="2:8" x14ac:dyDescent="0.35">
      <c r="B925" s="5">
        <v>14262.184514908291</v>
      </c>
      <c r="C925" s="6">
        <f t="shared" si="56"/>
        <v>300000</v>
      </c>
      <c r="D925" s="5">
        <f t="shared" si="57"/>
        <v>498352.91604358039</v>
      </c>
      <c r="F925" s="4">
        <v>4476.0277108066039</v>
      </c>
      <c r="G925" s="4">
        <f t="shared" si="58"/>
        <v>223801.3855403302</v>
      </c>
      <c r="H925" s="4">
        <f t="shared" si="59"/>
        <v>-186678.06024353771</v>
      </c>
    </row>
    <row r="926" spans="2:8" x14ac:dyDescent="0.35">
      <c r="B926" s="5">
        <v>14049.470503860592</v>
      </c>
      <c r="C926" s="6">
        <f t="shared" si="56"/>
        <v>300000</v>
      </c>
      <c r="D926" s="5">
        <f t="shared" si="57"/>
        <v>483462.93527024146</v>
      </c>
      <c r="F926" s="4">
        <v>7650.7156590472123</v>
      </c>
      <c r="G926" s="4">
        <f t="shared" si="58"/>
        <v>300000</v>
      </c>
      <c r="H926" s="4">
        <f t="shared" si="59"/>
        <v>-80000</v>
      </c>
    </row>
    <row r="927" spans="2:8" x14ac:dyDescent="0.35">
      <c r="B927" s="5">
        <v>15395.336771752067</v>
      </c>
      <c r="C927" s="6">
        <f t="shared" si="56"/>
        <v>300000</v>
      </c>
      <c r="D927" s="5">
        <f t="shared" si="57"/>
        <v>550000</v>
      </c>
      <c r="F927" s="4">
        <v>7736.0148930326241</v>
      </c>
      <c r="G927" s="4">
        <f t="shared" si="58"/>
        <v>300000</v>
      </c>
      <c r="H927" s="4">
        <f t="shared" si="59"/>
        <v>-80000</v>
      </c>
    </row>
    <row r="928" spans="2:8" x14ac:dyDescent="0.35">
      <c r="B928" s="5">
        <v>14026.734214300974</v>
      </c>
      <c r="C928" s="6">
        <f t="shared" si="56"/>
        <v>300000</v>
      </c>
      <c r="D928" s="5">
        <f t="shared" si="57"/>
        <v>481871.39500106813</v>
      </c>
      <c r="F928" s="4">
        <v>3953.2456434827723</v>
      </c>
      <c r="G928" s="4">
        <f t="shared" si="58"/>
        <v>197662.28217413861</v>
      </c>
      <c r="H928" s="4">
        <f t="shared" si="59"/>
        <v>-223272.80495620595</v>
      </c>
    </row>
    <row r="929" spans="2:8" x14ac:dyDescent="0.35">
      <c r="B929" s="5">
        <v>13248.207037568285</v>
      </c>
      <c r="C929" s="6">
        <f t="shared" si="56"/>
        <v>300000</v>
      </c>
      <c r="D929" s="5">
        <f t="shared" si="57"/>
        <v>427374.49262977997</v>
      </c>
      <c r="F929" s="4">
        <v>7481.4905240028074</v>
      </c>
      <c r="G929" s="4">
        <f t="shared" si="58"/>
        <v>300000</v>
      </c>
      <c r="H929" s="4">
        <f t="shared" si="59"/>
        <v>-80000</v>
      </c>
    </row>
    <row r="930" spans="2:8" x14ac:dyDescent="0.35">
      <c r="B930" s="5">
        <v>13369.060335093234</v>
      </c>
      <c r="C930" s="6">
        <f t="shared" si="56"/>
        <v>300000</v>
      </c>
      <c r="D930" s="5">
        <f t="shared" si="57"/>
        <v>435834.22345652641</v>
      </c>
      <c r="F930" s="4">
        <v>3059.0533158360545</v>
      </c>
      <c r="G930" s="4">
        <f t="shared" si="58"/>
        <v>152952.66579180272</v>
      </c>
      <c r="H930" s="4">
        <f t="shared" si="59"/>
        <v>-285866.26789147616</v>
      </c>
    </row>
    <row r="931" spans="2:8" x14ac:dyDescent="0.35">
      <c r="B931" s="5">
        <v>12754.112369151891</v>
      </c>
      <c r="C931" s="6">
        <f t="shared" si="56"/>
        <v>300000</v>
      </c>
      <c r="D931" s="5">
        <f t="shared" si="57"/>
        <v>392787.86584063235</v>
      </c>
      <c r="F931" s="4">
        <v>7231.2387462996312</v>
      </c>
      <c r="G931" s="4">
        <f t="shared" si="58"/>
        <v>300000</v>
      </c>
      <c r="H931" s="4">
        <f t="shared" si="59"/>
        <v>-80000</v>
      </c>
    </row>
    <row r="932" spans="2:8" x14ac:dyDescent="0.35">
      <c r="B932" s="5">
        <v>13547.593615527818</v>
      </c>
      <c r="C932" s="6">
        <f t="shared" si="56"/>
        <v>300000</v>
      </c>
      <c r="D932" s="5">
        <f t="shared" si="57"/>
        <v>448331.55308694718</v>
      </c>
      <c r="F932" s="4">
        <v>6323.4656819360944</v>
      </c>
      <c r="G932" s="4">
        <f t="shared" si="58"/>
        <v>300000</v>
      </c>
      <c r="H932" s="4">
        <f t="shared" si="59"/>
        <v>-80000</v>
      </c>
    </row>
    <row r="933" spans="2:8" x14ac:dyDescent="0.35">
      <c r="B933" s="5">
        <v>12248.268074587237</v>
      </c>
      <c r="C933" s="6">
        <f t="shared" si="56"/>
        <v>300000</v>
      </c>
      <c r="D933" s="5">
        <f t="shared" si="57"/>
        <v>357378.76522110659</v>
      </c>
      <c r="F933" s="4">
        <v>3750.2975554673912</v>
      </c>
      <c r="G933" s="4">
        <f t="shared" si="58"/>
        <v>187514.87777336958</v>
      </c>
      <c r="H933" s="4">
        <f t="shared" si="59"/>
        <v>-237479.17111728259</v>
      </c>
    </row>
    <row r="934" spans="2:8" x14ac:dyDescent="0.35">
      <c r="B934" s="5">
        <v>16620.502334665976</v>
      </c>
      <c r="C934" s="6">
        <f t="shared" si="56"/>
        <v>300000</v>
      </c>
      <c r="D934" s="5">
        <f t="shared" si="57"/>
        <v>550000</v>
      </c>
      <c r="F934" s="4">
        <v>6271.8894009216592</v>
      </c>
      <c r="G934" s="4">
        <f t="shared" si="58"/>
        <v>300000</v>
      </c>
      <c r="H934" s="4">
        <f t="shared" si="59"/>
        <v>-80000</v>
      </c>
    </row>
    <row r="935" spans="2:8" x14ac:dyDescent="0.35">
      <c r="B935" s="5">
        <v>13425.824762718588</v>
      </c>
      <c r="C935" s="6">
        <f t="shared" si="56"/>
        <v>300000</v>
      </c>
      <c r="D935" s="5">
        <f t="shared" si="57"/>
        <v>439807.73339030123</v>
      </c>
      <c r="F935" s="4">
        <v>5060.6097598193301</v>
      </c>
      <c r="G935" s="4">
        <f t="shared" si="58"/>
        <v>253030.4879909665</v>
      </c>
      <c r="H935" s="4">
        <f t="shared" si="59"/>
        <v>-145757.31681264692</v>
      </c>
    </row>
    <row r="936" spans="2:8" x14ac:dyDescent="0.35">
      <c r="B936" s="5">
        <v>16709.006012146368</v>
      </c>
      <c r="C936" s="6">
        <f t="shared" si="56"/>
        <v>300000</v>
      </c>
      <c r="D936" s="5">
        <f t="shared" si="57"/>
        <v>550000</v>
      </c>
      <c r="F936" s="4">
        <v>4856.288338877529</v>
      </c>
      <c r="G936" s="4">
        <f t="shared" si="58"/>
        <v>242814.41694387645</v>
      </c>
      <c r="H936" s="4">
        <f t="shared" si="59"/>
        <v>-160059.81627857295</v>
      </c>
    </row>
    <row r="937" spans="2:8" x14ac:dyDescent="0.35">
      <c r="B937" s="5">
        <v>12868.4041871395</v>
      </c>
      <c r="C937" s="6">
        <f t="shared" si="56"/>
        <v>300000</v>
      </c>
      <c r="D937" s="5">
        <f t="shared" si="57"/>
        <v>400788.29309976497</v>
      </c>
      <c r="F937" s="4">
        <v>3816.8279061250651</v>
      </c>
      <c r="G937" s="4">
        <f t="shared" si="58"/>
        <v>190841.39530625325</v>
      </c>
      <c r="H937" s="4">
        <f t="shared" si="59"/>
        <v>-232822.04657124542</v>
      </c>
    </row>
    <row r="938" spans="2:8" x14ac:dyDescent="0.35">
      <c r="B938" s="5">
        <v>12543.53465376751</v>
      </c>
      <c r="C938" s="6">
        <f t="shared" si="56"/>
        <v>300000</v>
      </c>
      <c r="D938" s="5">
        <f t="shared" si="57"/>
        <v>378047.42576372577</v>
      </c>
      <c r="F938" s="4">
        <v>3891.5982543412579</v>
      </c>
      <c r="G938" s="4">
        <f t="shared" si="58"/>
        <v>194579.91271706289</v>
      </c>
      <c r="H938" s="4">
        <f t="shared" si="59"/>
        <v>-227588.12219611194</v>
      </c>
    </row>
    <row r="939" spans="2:8" x14ac:dyDescent="0.35">
      <c r="B939" s="5">
        <v>13019.928586687825</v>
      </c>
      <c r="C939" s="6">
        <f t="shared" si="56"/>
        <v>300000</v>
      </c>
      <c r="D939" s="5">
        <f t="shared" si="57"/>
        <v>411395.00106814783</v>
      </c>
      <c r="F939" s="4">
        <v>4299.1729483932004</v>
      </c>
      <c r="G939" s="4">
        <f t="shared" si="58"/>
        <v>214958.64741966003</v>
      </c>
      <c r="H939" s="4">
        <f t="shared" si="59"/>
        <v>-199057.89361247595</v>
      </c>
    </row>
    <row r="940" spans="2:8" x14ac:dyDescent="0.35">
      <c r="B940" s="5">
        <v>13697.897274697103</v>
      </c>
      <c r="C940" s="6">
        <f t="shared" si="56"/>
        <v>300000</v>
      </c>
      <c r="D940" s="5">
        <f t="shared" si="57"/>
        <v>458852.80922879721</v>
      </c>
      <c r="F940" s="4">
        <v>4177.0989104892114</v>
      </c>
      <c r="G940" s="4">
        <f t="shared" si="58"/>
        <v>208854.94552446058</v>
      </c>
      <c r="H940" s="4">
        <f t="shared" si="59"/>
        <v>-207603.07626575523</v>
      </c>
    </row>
    <row r="941" spans="2:8" x14ac:dyDescent="0.35">
      <c r="B941" s="5">
        <v>16004.943998535111</v>
      </c>
      <c r="C941" s="6">
        <f t="shared" si="56"/>
        <v>300000</v>
      </c>
      <c r="D941" s="5">
        <f t="shared" si="57"/>
        <v>550000</v>
      </c>
      <c r="F941" s="4">
        <v>4754.5091097750792</v>
      </c>
      <c r="G941" s="4">
        <f t="shared" si="58"/>
        <v>237725.45548875397</v>
      </c>
      <c r="H941" s="4">
        <f t="shared" si="59"/>
        <v>-167184.36231574445</v>
      </c>
    </row>
    <row r="942" spans="2:8" x14ac:dyDescent="0.35">
      <c r="B942" s="5">
        <v>16575.792718283639</v>
      </c>
      <c r="C942" s="6">
        <f t="shared" si="56"/>
        <v>300000</v>
      </c>
      <c r="D942" s="5">
        <f t="shared" si="57"/>
        <v>550000</v>
      </c>
      <c r="F942" s="4">
        <v>4349.8336741233561</v>
      </c>
      <c r="G942" s="4">
        <f t="shared" si="58"/>
        <v>217491.68370616779</v>
      </c>
      <c r="H942" s="4">
        <f t="shared" si="59"/>
        <v>-195511.64281136508</v>
      </c>
    </row>
    <row r="943" spans="2:8" x14ac:dyDescent="0.35">
      <c r="B943" s="5">
        <v>13341.898861659596</v>
      </c>
      <c r="C943" s="6">
        <f t="shared" si="56"/>
        <v>300000</v>
      </c>
      <c r="D943" s="5">
        <f t="shared" si="57"/>
        <v>433932.92031617172</v>
      </c>
      <c r="F943" s="4">
        <v>3199.8962370677818</v>
      </c>
      <c r="G943" s="4">
        <f t="shared" si="58"/>
        <v>159994.81185338908</v>
      </c>
      <c r="H943" s="4">
        <f t="shared" si="59"/>
        <v>-276007.26340525527</v>
      </c>
    </row>
    <row r="944" spans="2:8" x14ac:dyDescent="0.35">
      <c r="B944" s="5">
        <v>12243.690298165837</v>
      </c>
      <c r="C944" s="6">
        <f t="shared" si="56"/>
        <v>300000</v>
      </c>
      <c r="D944" s="5">
        <f t="shared" si="57"/>
        <v>357058.32087160856</v>
      </c>
      <c r="F944" s="4">
        <v>6384.960478530229</v>
      </c>
      <c r="G944" s="4">
        <f t="shared" si="58"/>
        <v>300000</v>
      </c>
      <c r="H944" s="4">
        <f t="shared" si="59"/>
        <v>-80000</v>
      </c>
    </row>
    <row r="945" spans="2:8" x14ac:dyDescent="0.35">
      <c r="B945" s="5">
        <v>16529.099398785365</v>
      </c>
      <c r="C945" s="6">
        <f t="shared" si="56"/>
        <v>300000</v>
      </c>
      <c r="D945" s="5">
        <f t="shared" si="57"/>
        <v>550000</v>
      </c>
      <c r="F945" s="4">
        <v>7192.1750541703541</v>
      </c>
      <c r="G945" s="4">
        <f t="shared" si="58"/>
        <v>300000</v>
      </c>
      <c r="H945" s="4">
        <f t="shared" si="59"/>
        <v>-80000</v>
      </c>
    </row>
    <row r="946" spans="2:8" x14ac:dyDescent="0.35">
      <c r="B946" s="5">
        <v>12426.9539475692</v>
      </c>
      <c r="C946" s="6">
        <f t="shared" si="56"/>
        <v>300000</v>
      </c>
      <c r="D946" s="5">
        <f t="shared" si="57"/>
        <v>369886.77632984403</v>
      </c>
      <c r="F946" s="4">
        <v>7480.1171910763878</v>
      </c>
      <c r="G946" s="4">
        <f t="shared" si="58"/>
        <v>300000</v>
      </c>
      <c r="H946" s="4">
        <f t="shared" si="59"/>
        <v>-80000</v>
      </c>
    </row>
    <row r="947" spans="2:8" x14ac:dyDescent="0.35">
      <c r="B947" s="5">
        <v>15793.603320413831</v>
      </c>
      <c r="C947" s="6">
        <f t="shared" si="56"/>
        <v>300000</v>
      </c>
      <c r="D947" s="5">
        <f t="shared" si="57"/>
        <v>550000</v>
      </c>
      <c r="F947" s="4">
        <v>4598.7121189001127</v>
      </c>
      <c r="G947" s="4">
        <f t="shared" si="58"/>
        <v>229935.60594500563</v>
      </c>
      <c r="H947" s="4">
        <f t="shared" si="59"/>
        <v>-178090.15167699213</v>
      </c>
    </row>
    <row r="948" spans="2:8" x14ac:dyDescent="0.35">
      <c r="B948" s="5">
        <v>13046.174504837183</v>
      </c>
      <c r="C948" s="6">
        <f t="shared" si="56"/>
        <v>300000</v>
      </c>
      <c r="D948" s="5">
        <f t="shared" si="57"/>
        <v>413232.21533860278</v>
      </c>
      <c r="F948" s="4">
        <v>3462.6606036561175</v>
      </c>
      <c r="G948" s="4">
        <f t="shared" si="58"/>
        <v>173133.03018280587</v>
      </c>
      <c r="H948" s="4">
        <f t="shared" si="59"/>
        <v>-257613.75774407177</v>
      </c>
    </row>
    <row r="949" spans="2:8" x14ac:dyDescent="0.35">
      <c r="B949" s="5">
        <v>15127.079073458051</v>
      </c>
      <c r="C949" s="6">
        <f t="shared" si="56"/>
        <v>300000</v>
      </c>
      <c r="D949" s="5">
        <f t="shared" si="57"/>
        <v>550000</v>
      </c>
      <c r="F949" s="4">
        <v>6209.4790490432442</v>
      </c>
      <c r="G949" s="4">
        <f t="shared" si="58"/>
        <v>300000</v>
      </c>
      <c r="H949" s="4">
        <f t="shared" si="59"/>
        <v>-80000</v>
      </c>
    </row>
    <row r="950" spans="2:8" x14ac:dyDescent="0.35">
      <c r="B950" s="5">
        <v>12180.669576097904</v>
      </c>
      <c r="C950" s="6">
        <f t="shared" si="56"/>
        <v>300000</v>
      </c>
      <c r="D950" s="5">
        <f t="shared" si="57"/>
        <v>352646.87032685324</v>
      </c>
      <c r="F950" s="4">
        <v>7460.4327524643695</v>
      </c>
      <c r="G950" s="4">
        <f t="shared" si="58"/>
        <v>300000</v>
      </c>
      <c r="H950" s="4">
        <f t="shared" si="59"/>
        <v>-80000</v>
      </c>
    </row>
    <row r="951" spans="2:8" x14ac:dyDescent="0.35">
      <c r="B951" s="5">
        <v>14195.501571703238</v>
      </c>
      <c r="C951" s="6">
        <f t="shared" si="56"/>
        <v>300000</v>
      </c>
      <c r="D951" s="5">
        <f t="shared" si="57"/>
        <v>493685.11001922667</v>
      </c>
      <c r="F951" s="4">
        <v>5211.9815668202773</v>
      </c>
      <c r="G951" s="4">
        <f t="shared" si="58"/>
        <v>260599.07834101387</v>
      </c>
      <c r="H951" s="4">
        <f t="shared" si="59"/>
        <v>-135161.29032258061</v>
      </c>
    </row>
    <row r="952" spans="2:8" x14ac:dyDescent="0.35">
      <c r="B952" s="5">
        <v>16931.791131321144</v>
      </c>
      <c r="C952" s="6">
        <f t="shared" si="56"/>
        <v>300000</v>
      </c>
      <c r="D952" s="5">
        <f t="shared" si="57"/>
        <v>550000</v>
      </c>
      <c r="F952" s="4">
        <v>5009.3386638996553</v>
      </c>
      <c r="G952" s="4">
        <f t="shared" si="58"/>
        <v>250466.93319498276</v>
      </c>
      <c r="H952" s="4">
        <f t="shared" si="59"/>
        <v>-149346.2935270241</v>
      </c>
    </row>
    <row r="953" spans="2:8" x14ac:dyDescent="0.35">
      <c r="B953" s="5">
        <v>14957.090975676747</v>
      </c>
      <c r="C953" s="6">
        <f t="shared" si="56"/>
        <v>300000</v>
      </c>
      <c r="D953" s="5">
        <f t="shared" si="57"/>
        <v>546996.36829737225</v>
      </c>
      <c r="F953" s="4">
        <v>6263.4968108157591</v>
      </c>
      <c r="G953" s="4">
        <f t="shared" si="58"/>
        <v>300000</v>
      </c>
      <c r="H953" s="4">
        <f t="shared" si="59"/>
        <v>-80000</v>
      </c>
    </row>
    <row r="954" spans="2:8" x14ac:dyDescent="0.35">
      <c r="B954" s="5">
        <v>16951.322977385786</v>
      </c>
      <c r="C954" s="6">
        <f t="shared" si="56"/>
        <v>300000</v>
      </c>
      <c r="D954" s="5">
        <f t="shared" si="57"/>
        <v>550000</v>
      </c>
      <c r="F954" s="4">
        <v>3655.9953611865594</v>
      </c>
      <c r="G954" s="4">
        <f t="shared" si="58"/>
        <v>182799.76805932797</v>
      </c>
      <c r="H954" s="4">
        <f t="shared" si="59"/>
        <v>-244080.32471694084</v>
      </c>
    </row>
    <row r="955" spans="2:8" x14ac:dyDescent="0.35">
      <c r="B955" s="5">
        <v>15939.481795709098</v>
      </c>
      <c r="C955" s="6">
        <f t="shared" si="56"/>
        <v>300000</v>
      </c>
      <c r="D955" s="5">
        <f t="shared" si="57"/>
        <v>550000</v>
      </c>
      <c r="F955" s="4">
        <v>6233.1308938871425</v>
      </c>
      <c r="G955" s="4">
        <f t="shared" si="58"/>
        <v>300000</v>
      </c>
      <c r="H955" s="4">
        <f t="shared" si="59"/>
        <v>-80000</v>
      </c>
    </row>
    <row r="956" spans="2:8" x14ac:dyDescent="0.35">
      <c r="B956" s="5">
        <v>12019.379253517258</v>
      </c>
      <c r="C956" s="6">
        <f t="shared" si="56"/>
        <v>300000</v>
      </c>
      <c r="D956" s="5">
        <f t="shared" si="57"/>
        <v>341356.54774620803</v>
      </c>
      <c r="F956" s="4">
        <v>7076.3573107089451</v>
      </c>
      <c r="G956" s="4">
        <f t="shared" si="58"/>
        <v>300000</v>
      </c>
      <c r="H956" s="4">
        <f t="shared" si="59"/>
        <v>-80000</v>
      </c>
    </row>
    <row r="957" spans="2:8" x14ac:dyDescent="0.35">
      <c r="B957" s="5">
        <v>13275.368511001923</v>
      </c>
      <c r="C957" s="6">
        <f t="shared" si="56"/>
        <v>300000</v>
      </c>
      <c r="D957" s="5">
        <f t="shared" si="57"/>
        <v>429275.79577013466</v>
      </c>
      <c r="F957" s="4">
        <v>7805.9022797326579</v>
      </c>
      <c r="G957" s="4">
        <f t="shared" si="58"/>
        <v>300000</v>
      </c>
      <c r="H957" s="4">
        <f t="shared" si="59"/>
        <v>-80000</v>
      </c>
    </row>
    <row r="958" spans="2:8" x14ac:dyDescent="0.35">
      <c r="B958" s="5">
        <v>12628.681295205542</v>
      </c>
      <c r="C958" s="6">
        <f t="shared" si="56"/>
        <v>300000</v>
      </c>
      <c r="D958" s="5">
        <f t="shared" si="57"/>
        <v>384007.69066438801</v>
      </c>
      <c r="F958" s="4">
        <v>6394.5738090151681</v>
      </c>
      <c r="G958" s="4">
        <f t="shared" si="58"/>
        <v>300000</v>
      </c>
      <c r="H958" s="4">
        <f t="shared" si="59"/>
        <v>-80000</v>
      </c>
    </row>
    <row r="959" spans="2:8" x14ac:dyDescent="0.35">
      <c r="B959" s="5">
        <v>12878.62788781396</v>
      </c>
      <c r="C959" s="6">
        <f t="shared" si="56"/>
        <v>300000</v>
      </c>
      <c r="D959" s="5">
        <f t="shared" si="57"/>
        <v>401503.95214697719</v>
      </c>
      <c r="F959" s="4">
        <v>4133.610034485916</v>
      </c>
      <c r="G959" s="4">
        <f t="shared" si="58"/>
        <v>206680.50172429581</v>
      </c>
      <c r="H959" s="4">
        <f t="shared" si="59"/>
        <v>-210647.29758598586</v>
      </c>
    </row>
    <row r="960" spans="2:8" x14ac:dyDescent="0.35">
      <c r="B960" s="5">
        <v>16678.79268776513</v>
      </c>
      <c r="C960" s="6">
        <f t="shared" si="56"/>
        <v>300000</v>
      </c>
      <c r="D960" s="5">
        <f t="shared" si="57"/>
        <v>550000</v>
      </c>
      <c r="F960" s="4">
        <v>5388.2259590441608</v>
      </c>
      <c r="G960" s="4">
        <f t="shared" si="58"/>
        <v>269411.29795220803</v>
      </c>
      <c r="H960" s="4">
        <f t="shared" si="59"/>
        <v>-122824.18286690873</v>
      </c>
    </row>
    <row r="961" spans="2:8" x14ac:dyDescent="0.35">
      <c r="B961" s="5">
        <v>15689.68779564806</v>
      </c>
      <c r="C961" s="6">
        <f t="shared" si="56"/>
        <v>300000</v>
      </c>
      <c r="D961" s="5">
        <f t="shared" si="57"/>
        <v>550000</v>
      </c>
      <c r="F961" s="4">
        <v>5745.1399273659481</v>
      </c>
      <c r="G961" s="4">
        <f t="shared" si="58"/>
        <v>287256.99636829738</v>
      </c>
      <c r="H961" s="4">
        <f t="shared" si="59"/>
        <v>-97840.205084383604</v>
      </c>
    </row>
    <row r="962" spans="2:8" x14ac:dyDescent="0.35">
      <c r="B962" s="5">
        <v>12744.041261024811</v>
      </c>
      <c r="C962" s="6">
        <f t="shared" si="56"/>
        <v>300000</v>
      </c>
      <c r="D962" s="5">
        <f t="shared" si="57"/>
        <v>392082.8882717368</v>
      </c>
      <c r="F962" s="4">
        <v>7202.5513473921928</v>
      </c>
      <c r="G962" s="4">
        <f t="shared" si="58"/>
        <v>300000</v>
      </c>
      <c r="H962" s="4">
        <f t="shared" si="59"/>
        <v>-80000</v>
      </c>
    </row>
    <row r="963" spans="2:8" x14ac:dyDescent="0.35">
      <c r="B963" s="5">
        <v>15859.065523239846</v>
      </c>
      <c r="C963" s="6">
        <f t="shared" si="56"/>
        <v>300000</v>
      </c>
      <c r="D963" s="5">
        <f t="shared" si="57"/>
        <v>550000</v>
      </c>
      <c r="F963" s="4">
        <v>3075.8384960478529</v>
      </c>
      <c r="G963" s="4">
        <f t="shared" si="58"/>
        <v>153791.92480239263</v>
      </c>
      <c r="H963" s="4">
        <f t="shared" si="59"/>
        <v>-284691.3052766503</v>
      </c>
    </row>
    <row r="964" spans="2:8" x14ac:dyDescent="0.35">
      <c r="B964" s="5">
        <v>16557.939390240179</v>
      </c>
      <c r="C964" s="6">
        <f t="shared" si="56"/>
        <v>300000</v>
      </c>
      <c r="D964" s="5">
        <f t="shared" si="57"/>
        <v>550000</v>
      </c>
      <c r="F964" s="4">
        <v>3730.002746665853</v>
      </c>
      <c r="G964" s="4">
        <f t="shared" si="58"/>
        <v>186500.13733329266</v>
      </c>
      <c r="H964" s="4">
        <f t="shared" si="59"/>
        <v>-238899.80773339028</v>
      </c>
    </row>
    <row r="965" spans="2:8" x14ac:dyDescent="0.35">
      <c r="B965" s="5">
        <v>13195.867793816949</v>
      </c>
      <c r="C965" s="6">
        <f t="shared" si="56"/>
        <v>300000</v>
      </c>
      <c r="D965" s="5">
        <f t="shared" si="57"/>
        <v>423710.7455671865</v>
      </c>
      <c r="F965" s="4">
        <v>7411.4505447553938</v>
      </c>
      <c r="G965" s="4">
        <f t="shared" si="58"/>
        <v>300000</v>
      </c>
      <c r="H965" s="4">
        <f t="shared" si="59"/>
        <v>-80000</v>
      </c>
    </row>
    <row r="966" spans="2:8" x14ac:dyDescent="0.35">
      <c r="B966" s="5">
        <v>12983.15378276925</v>
      </c>
      <c r="C966" s="6">
        <f t="shared" si="56"/>
        <v>300000</v>
      </c>
      <c r="D966" s="5">
        <f t="shared" si="57"/>
        <v>408820.76479384745</v>
      </c>
      <c r="F966" s="4">
        <v>5537.7666554765465</v>
      </c>
      <c r="G966" s="4">
        <f t="shared" si="58"/>
        <v>276888.33277382731</v>
      </c>
      <c r="H966" s="4">
        <f t="shared" si="59"/>
        <v>-112356.33411664172</v>
      </c>
    </row>
    <row r="967" spans="2:8" x14ac:dyDescent="0.35">
      <c r="B967" s="5">
        <v>14299.569689016389</v>
      </c>
      <c r="C967" s="6">
        <f t="shared" si="56"/>
        <v>300000</v>
      </c>
      <c r="D967" s="5">
        <f t="shared" si="57"/>
        <v>500969.87823114719</v>
      </c>
      <c r="F967" s="4">
        <v>7843.7452314828943</v>
      </c>
      <c r="G967" s="4">
        <f t="shared" si="58"/>
        <v>300000</v>
      </c>
      <c r="H967" s="4">
        <f t="shared" si="59"/>
        <v>-80000</v>
      </c>
    </row>
    <row r="968" spans="2:8" x14ac:dyDescent="0.35">
      <c r="B968" s="5">
        <v>16468.062379833369</v>
      </c>
      <c r="C968" s="6">
        <f t="shared" si="56"/>
        <v>300000</v>
      </c>
      <c r="D968" s="5">
        <f t="shared" si="57"/>
        <v>550000</v>
      </c>
      <c r="F968" s="4">
        <v>5780.2362132633443</v>
      </c>
      <c r="G968" s="4">
        <f t="shared" si="58"/>
        <v>289011.81066316721</v>
      </c>
      <c r="H968" s="4">
        <f t="shared" si="59"/>
        <v>-95383.465071565879</v>
      </c>
    </row>
    <row r="969" spans="2:8" x14ac:dyDescent="0.35">
      <c r="B969" s="5">
        <v>14654.957731864375</v>
      </c>
      <c r="C969" s="6">
        <f t="shared" si="56"/>
        <v>300000</v>
      </c>
      <c r="D969" s="5">
        <f t="shared" si="57"/>
        <v>525847.04123050626</v>
      </c>
      <c r="F969" s="4">
        <v>5178.7163914914399</v>
      </c>
      <c r="G969" s="4">
        <f t="shared" si="58"/>
        <v>258935.819574572</v>
      </c>
      <c r="H969" s="4">
        <f t="shared" si="59"/>
        <v>-137489.85259559919</v>
      </c>
    </row>
    <row r="970" spans="2:8" x14ac:dyDescent="0.35">
      <c r="B970" s="5">
        <v>14383.495590075381</v>
      </c>
      <c r="C970" s="6">
        <f t="shared" si="56"/>
        <v>300000</v>
      </c>
      <c r="D970" s="5">
        <f t="shared" si="57"/>
        <v>506844.6913052767</v>
      </c>
      <c r="F970" s="4">
        <v>6545.9456160161135</v>
      </c>
      <c r="G970" s="4">
        <f t="shared" si="58"/>
        <v>300000</v>
      </c>
      <c r="H970" s="4">
        <f t="shared" si="59"/>
        <v>-80000</v>
      </c>
    </row>
    <row r="971" spans="2:8" x14ac:dyDescent="0.35">
      <c r="B971" s="5">
        <v>14728.965117343669</v>
      </c>
      <c r="C971" s="6">
        <f t="shared" si="56"/>
        <v>300000</v>
      </c>
      <c r="D971" s="5">
        <f t="shared" si="57"/>
        <v>531027.55821405677</v>
      </c>
      <c r="F971" s="4">
        <v>3695.8220160527362</v>
      </c>
      <c r="G971" s="4">
        <f t="shared" si="58"/>
        <v>184791.10080263682</v>
      </c>
      <c r="H971" s="4">
        <f t="shared" si="59"/>
        <v>-241292.45887630846</v>
      </c>
    </row>
    <row r="972" spans="2:8" x14ac:dyDescent="0.35">
      <c r="B972" s="5">
        <v>15399.914548173467</v>
      </c>
      <c r="C972" s="6">
        <f t="shared" ref="C972:C1010" si="60">50*MIN(B972,6000)</f>
        <v>300000</v>
      </c>
      <c r="D972" s="5">
        <f t="shared" ref="D972:D1010" si="61">70*MIN(B972,15000)-500000</f>
        <v>550000</v>
      </c>
      <c r="F972" s="4">
        <v>6174.6879482406075</v>
      </c>
      <c r="G972" s="4">
        <f t="shared" ref="G972:G1010" si="62">50*MIN(F972,6000)</f>
        <v>300000</v>
      </c>
      <c r="H972" s="4">
        <f t="shared" ref="H972:H1010" si="63">70*MIN(F972,6000)-500000</f>
        <v>-80000</v>
      </c>
    </row>
    <row r="973" spans="2:8" x14ac:dyDescent="0.35">
      <c r="B973" s="5">
        <v>14864.009521774957</v>
      </c>
      <c r="C973" s="6">
        <f t="shared" si="60"/>
        <v>300000</v>
      </c>
      <c r="D973" s="5">
        <f t="shared" si="61"/>
        <v>540480.66652424692</v>
      </c>
      <c r="F973" s="4">
        <v>6402.6612140263069</v>
      </c>
      <c r="G973" s="4">
        <f t="shared" si="62"/>
        <v>300000</v>
      </c>
      <c r="H973" s="4">
        <f t="shared" si="63"/>
        <v>-80000</v>
      </c>
    </row>
    <row r="974" spans="2:8" x14ac:dyDescent="0.35">
      <c r="B974" s="5">
        <v>14743.461409344767</v>
      </c>
      <c r="C974" s="6">
        <f t="shared" si="60"/>
        <v>300000</v>
      </c>
      <c r="D974" s="5">
        <f t="shared" si="61"/>
        <v>532042.29865413369</v>
      </c>
      <c r="F974" s="4">
        <v>6873.8670003357038</v>
      </c>
      <c r="G974" s="4">
        <f t="shared" si="62"/>
        <v>300000</v>
      </c>
      <c r="H974" s="4">
        <f t="shared" si="63"/>
        <v>-80000</v>
      </c>
    </row>
    <row r="975" spans="2:8" x14ac:dyDescent="0.35">
      <c r="B975" s="5">
        <v>14682.271797845393</v>
      </c>
      <c r="C975" s="6">
        <f t="shared" si="60"/>
        <v>300000</v>
      </c>
      <c r="D975" s="5">
        <f t="shared" si="61"/>
        <v>527759.0258491775</v>
      </c>
      <c r="F975" s="4">
        <v>7051.0269478438677</v>
      </c>
      <c r="G975" s="4">
        <f t="shared" si="62"/>
        <v>300000</v>
      </c>
      <c r="H975" s="4">
        <f t="shared" si="63"/>
        <v>-80000</v>
      </c>
    </row>
    <row r="976" spans="2:8" x14ac:dyDescent="0.35">
      <c r="B976" s="5">
        <v>15458.510086367382</v>
      </c>
      <c r="C976" s="6">
        <f t="shared" si="60"/>
        <v>300000</v>
      </c>
      <c r="D976" s="5">
        <f t="shared" si="61"/>
        <v>550000</v>
      </c>
      <c r="F976" s="4">
        <v>4077.9137546922211</v>
      </c>
      <c r="G976" s="4">
        <f t="shared" si="62"/>
        <v>203895.68773461104</v>
      </c>
      <c r="H976" s="4">
        <f t="shared" si="63"/>
        <v>-214546.03717154451</v>
      </c>
    </row>
    <row r="977" spans="2:8" x14ac:dyDescent="0.35">
      <c r="B977" s="5">
        <v>15880.581072420424</v>
      </c>
      <c r="C977" s="6">
        <f t="shared" si="60"/>
        <v>300000</v>
      </c>
      <c r="D977" s="5">
        <f t="shared" si="61"/>
        <v>550000</v>
      </c>
      <c r="F977" s="4">
        <v>5827.53990295114</v>
      </c>
      <c r="G977" s="4">
        <f t="shared" si="62"/>
        <v>291376.995147557</v>
      </c>
      <c r="H977" s="4">
        <f t="shared" si="63"/>
        <v>-92072.206793420191</v>
      </c>
    </row>
    <row r="978" spans="2:8" x14ac:dyDescent="0.35">
      <c r="B978" s="5">
        <v>15275.856807153539</v>
      </c>
      <c r="C978" s="6">
        <f t="shared" si="60"/>
        <v>300000</v>
      </c>
      <c r="D978" s="5">
        <f t="shared" si="61"/>
        <v>550000</v>
      </c>
      <c r="F978" s="4">
        <v>3071.8710898159734</v>
      </c>
      <c r="G978" s="4">
        <f t="shared" si="62"/>
        <v>153593.55449079868</v>
      </c>
      <c r="H978" s="4">
        <f t="shared" si="63"/>
        <v>-284969.02371288184</v>
      </c>
    </row>
    <row r="979" spans="2:8" x14ac:dyDescent="0.35">
      <c r="B979" s="5">
        <v>15865.321817682425</v>
      </c>
      <c r="C979" s="6">
        <f t="shared" si="60"/>
        <v>300000</v>
      </c>
      <c r="D979" s="5">
        <f t="shared" si="61"/>
        <v>550000</v>
      </c>
      <c r="F979" s="4">
        <v>3407.7272865993227</v>
      </c>
      <c r="G979" s="4">
        <f t="shared" si="62"/>
        <v>170386.36432996613</v>
      </c>
      <c r="H979" s="4">
        <f t="shared" si="63"/>
        <v>-261459.0899380474</v>
      </c>
    </row>
    <row r="980" spans="2:8" x14ac:dyDescent="0.35">
      <c r="B980" s="5">
        <v>12993.072298348949</v>
      </c>
      <c r="C980" s="6">
        <f t="shared" si="60"/>
        <v>300000</v>
      </c>
      <c r="D980" s="5">
        <f t="shared" si="61"/>
        <v>409515.06088442635</v>
      </c>
      <c r="F980" s="4">
        <v>5047.3342081972714</v>
      </c>
      <c r="G980" s="4">
        <f t="shared" si="62"/>
        <v>252366.71040986356</v>
      </c>
      <c r="H980" s="4">
        <f t="shared" si="63"/>
        <v>-146686.605426191</v>
      </c>
    </row>
    <row r="981" spans="2:8" x14ac:dyDescent="0.35">
      <c r="B981" s="5">
        <v>16754.478591265601</v>
      </c>
      <c r="C981" s="6">
        <f t="shared" si="60"/>
        <v>300000</v>
      </c>
      <c r="D981" s="5">
        <f t="shared" si="61"/>
        <v>550000</v>
      </c>
      <c r="F981" s="4">
        <v>3121.768852809229</v>
      </c>
      <c r="G981" s="4">
        <f t="shared" si="62"/>
        <v>156088.44264046144</v>
      </c>
      <c r="H981" s="4">
        <f t="shared" si="63"/>
        <v>-281476.18030335393</v>
      </c>
    </row>
    <row r="982" spans="2:8" x14ac:dyDescent="0.35">
      <c r="B982" s="5">
        <v>12036.317026276436</v>
      </c>
      <c r="C982" s="6">
        <f t="shared" si="60"/>
        <v>300000</v>
      </c>
      <c r="D982" s="5">
        <f t="shared" si="61"/>
        <v>342542.1918393505</v>
      </c>
      <c r="F982" s="4">
        <v>4613.6661885433514</v>
      </c>
      <c r="G982" s="4">
        <f t="shared" si="62"/>
        <v>230683.30942716758</v>
      </c>
      <c r="H982" s="4">
        <f t="shared" si="63"/>
        <v>-177043.3668019654</v>
      </c>
    </row>
    <row r="983" spans="2:8" x14ac:dyDescent="0.35">
      <c r="B983" s="5">
        <v>12993.530075991088</v>
      </c>
      <c r="C983" s="6">
        <f t="shared" si="60"/>
        <v>300000</v>
      </c>
      <c r="D983" s="5">
        <f t="shared" si="61"/>
        <v>409547.1053193761</v>
      </c>
      <c r="F983" s="4">
        <v>6408.1545457319862</v>
      </c>
      <c r="G983" s="4">
        <f t="shared" si="62"/>
        <v>300000</v>
      </c>
      <c r="H983" s="4">
        <f t="shared" si="63"/>
        <v>-80000</v>
      </c>
    </row>
    <row r="984" spans="2:8" x14ac:dyDescent="0.35">
      <c r="B984" s="5">
        <v>12707.113864558854</v>
      </c>
      <c r="C984" s="6">
        <f t="shared" si="60"/>
        <v>300000</v>
      </c>
      <c r="D984" s="5">
        <f t="shared" si="61"/>
        <v>389497.97051911976</v>
      </c>
      <c r="F984" s="4">
        <v>4468.550675984985</v>
      </c>
      <c r="G984" s="4">
        <f t="shared" si="62"/>
        <v>223427.53379924924</v>
      </c>
      <c r="H984" s="4">
        <f t="shared" si="63"/>
        <v>-187201.45268105104</v>
      </c>
    </row>
    <row r="985" spans="2:8" x14ac:dyDescent="0.35">
      <c r="B985" s="5">
        <v>14324.289681691946</v>
      </c>
      <c r="C985" s="6">
        <f t="shared" si="60"/>
        <v>300000</v>
      </c>
      <c r="D985" s="5">
        <f t="shared" si="61"/>
        <v>502700.27771843621</v>
      </c>
      <c r="F985" s="4">
        <v>5696.0051271095917</v>
      </c>
      <c r="G985" s="4">
        <f t="shared" si="62"/>
        <v>284800.25635547959</v>
      </c>
      <c r="H985" s="4">
        <f t="shared" si="63"/>
        <v>-101279.64110232861</v>
      </c>
    </row>
    <row r="986" spans="2:8" x14ac:dyDescent="0.35">
      <c r="B986" s="5">
        <v>14160.100100711081</v>
      </c>
      <c r="C986" s="6">
        <f t="shared" si="60"/>
        <v>300000</v>
      </c>
      <c r="D986" s="5">
        <f t="shared" si="61"/>
        <v>491207.00704977568</v>
      </c>
      <c r="F986" s="4">
        <v>6067.5679799798581</v>
      </c>
      <c r="G986" s="4">
        <f t="shared" si="62"/>
        <v>300000</v>
      </c>
      <c r="H986" s="4">
        <f t="shared" si="63"/>
        <v>-80000</v>
      </c>
    </row>
    <row r="987" spans="2:8" x14ac:dyDescent="0.35">
      <c r="B987" s="5">
        <v>12210.730307931761</v>
      </c>
      <c r="C987" s="6">
        <f t="shared" si="60"/>
        <v>300000</v>
      </c>
      <c r="D987" s="5">
        <f t="shared" si="61"/>
        <v>354751.12155522325</v>
      </c>
      <c r="F987" s="4">
        <v>4448.7136448255869</v>
      </c>
      <c r="G987" s="4">
        <f t="shared" si="62"/>
        <v>222435.68224127934</v>
      </c>
      <c r="H987" s="4">
        <f t="shared" si="63"/>
        <v>-188590.04486220889</v>
      </c>
    </row>
    <row r="988" spans="2:8" x14ac:dyDescent="0.35">
      <c r="B988" s="5">
        <v>13028.168584246345</v>
      </c>
      <c r="C988" s="6">
        <f t="shared" si="60"/>
        <v>300000</v>
      </c>
      <c r="D988" s="5">
        <f t="shared" si="61"/>
        <v>411971.80089724413</v>
      </c>
      <c r="F988" s="4">
        <v>3344.2487868892485</v>
      </c>
      <c r="G988" s="4">
        <f t="shared" si="62"/>
        <v>167212.43934446241</v>
      </c>
      <c r="H988" s="4">
        <f t="shared" si="63"/>
        <v>-265902.5849177526</v>
      </c>
    </row>
    <row r="989" spans="2:8" x14ac:dyDescent="0.35">
      <c r="B989" s="5">
        <v>15235.114597003083</v>
      </c>
      <c r="C989" s="6">
        <f t="shared" si="60"/>
        <v>300000</v>
      </c>
      <c r="D989" s="5">
        <f t="shared" si="61"/>
        <v>550000</v>
      </c>
      <c r="F989" s="4">
        <v>4459.5477156895658</v>
      </c>
      <c r="G989" s="4">
        <f t="shared" si="62"/>
        <v>222977.38578447831</v>
      </c>
      <c r="H989" s="4">
        <f t="shared" si="63"/>
        <v>-187831.65990173037</v>
      </c>
    </row>
    <row r="990" spans="2:8" x14ac:dyDescent="0.35">
      <c r="B990" s="5">
        <v>13433.149204992827</v>
      </c>
      <c r="C990" s="6">
        <f t="shared" si="60"/>
        <v>300000</v>
      </c>
      <c r="D990" s="5">
        <f t="shared" si="61"/>
        <v>440320.44434949791</v>
      </c>
      <c r="F990" s="4">
        <v>5449.2629779961553</v>
      </c>
      <c r="G990" s="4">
        <f t="shared" si="62"/>
        <v>272463.14889980777</v>
      </c>
      <c r="H990" s="4">
        <f t="shared" si="63"/>
        <v>-118551.59154026915</v>
      </c>
    </row>
    <row r="991" spans="2:8" x14ac:dyDescent="0.35">
      <c r="B991" s="5">
        <v>15493.453779717398</v>
      </c>
      <c r="C991" s="6">
        <f t="shared" si="60"/>
        <v>300000</v>
      </c>
      <c r="D991" s="5">
        <f t="shared" si="61"/>
        <v>550000</v>
      </c>
      <c r="F991" s="4">
        <v>3748.9242225409712</v>
      </c>
      <c r="G991" s="4">
        <f t="shared" si="62"/>
        <v>187446.21112704856</v>
      </c>
      <c r="H991" s="4">
        <f t="shared" si="63"/>
        <v>-237575.30442213203</v>
      </c>
    </row>
    <row r="992" spans="2:8" x14ac:dyDescent="0.35">
      <c r="B992" s="5">
        <v>13516.76992095706</v>
      </c>
      <c r="C992" s="6">
        <f t="shared" si="60"/>
        <v>300000</v>
      </c>
      <c r="D992" s="5">
        <f t="shared" si="61"/>
        <v>446173.89446699421</v>
      </c>
      <c r="F992" s="4">
        <v>4719.1076387829216</v>
      </c>
      <c r="G992" s="4">
        <f t="shared" si="62"/>
        <v>235955.38193914609</v>
      </c>
      <c r="H992" s="4">
        <f t="shared" si="63"/>
        <v>-169662.4652851955</v>
      </c>
    </row>
    <row r="993" spans="2:8" x14ac:dyDescent="0.35">
      <c r="B993" s="5">
        <v>16832.148197882016</v>
      </c>
      <c r="C993" s="6">
        <f t="shared" si="60"/>
        <v>300000</v>
      </c>
      <c r="D993" s="5">
        <f t="shared" si="61"/>
        <v>550000</v>
      </c>
      <c r="F993" s="4">
        <v>7674.9778740806296</v>
      </c>
      <c r="G993" s="4">
        <f t="shared" si="62"/>
        <v>300000</v>
      </c>
      <c r="H993" s="4">
        <f t="shared" si="63"/>
        <v>-80000</v>
      </c>
    </row>
    <row r="994" spans="2:8" x14ac:dyDescent="0.35">
      <c r="B994" s="5">
        <v>12236.976226081119</v>
      </c>
      <c r="C994" s="6">
        <f t="shared" si="60"/>
        <v>300000</v>
      </c>
      <c r="D994" s="5">
        <f t="shared" si="61"/>
        <v>356588.33582567831</v>
      </c>
      <c r="F994" s="4">
        <v>3287.1791741691336</v>
      </c>
      <c r="G994" s="4">
        <f t="shared" si="62"/>
        <v>164358.95870845669</v>
      </c>
      <c r="H994" s="4">
        <f t="shared" si="63"/>
        <v>-269897.45780816069</v>
      </c>
    </row>
    <row r="995" spans="2:8" x14ac:dyDescent="0.35">
      <c r="B995" s="5">
        <v>14948.54579302347</v>
      </c>
      <c r="C995" s="6">
        <f t="shared" si="60"/>
        <v>300000</v>
      </c>
      <c r="D995" s="5">
        <f t="shared" si="61"/>
        <v>546398.20551164285</v>
      </c>
      <c r="F995" s="4">
        <v>4278.420361949522</v>
      </c>
      <c r="G995" s="4">
        <f t="shared" si="62"/>
        <v>213921.0180974761</v>
      </c>
      <c r="H995" s="4">
        <f t="shared" si="63"/>
        <v>-200510.57466353348</v>
      </c>
    </row>
    <row r="996" spans="2:8" x14ac:dyDescent="0.35">
      <c r="B996" s="5">
        <v>12600.299081392865</v>
      </c>
      <c r="C996" s="6">
        <f t="shared" si="60"/>
        <v>300000</v>
      </c>
      <c r="D996" s="5">
        <f t="shared" si="61"/>
        <v>382020.93569750048</v>
      </c>
      <c r="F996" s="4">
        <v>6518.4789574877159</v>
      </c>
      <c r="G996" s="4">
        <f t="shared" si="62"/>
        <v>300000</v>
      </c>
      <c r="H996" s="4">
        <f t="shared" si="63"/>
        <v>-80000</v>
      </c>
    </row>
    <row r="997" spans="2:8" x14ac:dyDescent="0.35">
      <c r="B997" s="5">
        <v>12087.740714743491</v>
      </c>
      <c r="C997" s="6">
        <f t="shared" si="60"/>
        <v>300000</v>
      </c>
      <c r="D997" s="5">
        <f t="shared" si="61"/>
        <v>346141.85003204446</v>
      </c>
      <c r="F997" s="4">
        <v>5561.4185003204439</v>
      </c>
      <c r="G997" s="4">
        <f t="shared" si="62"/>
        <v>278070.92501602217</v>
      </c>
      <c r="H997" s="4">
        <f t="shared" si="63"/>
        <v>-110700.70497756894</v>
      </c>
    </row>
    <row r="998" spans="2:8" x14ac:dyDescent="0.35">
      <c r="B998" s="5">
        <v>14390.05706961272</v>
      </c>
      <c r="C998" s="6">
        <f t="shared" si="60"/>
        <v>300000</v>
      </c>
      <c r="D998" s="5">
        <f t="shared" si="61"/>
        <v>507303.99487289041</v>
      </c>
      <c r="F998" s="4">
        <v>4432.5388348033084</v>
      </c>
      <c r="G998" s="4">
        <f t="shared" si="62"/>
        <v>221626.94174016541</v>
      </c>
      <c r="H998" s="4">
        <f t="shared" si="63"/>
        <v>-189722.2815637684</v>
      </c>
    </row>
    <row r="999" spans="2:8" x14ac:dyDescent="0.35">
      <c r="B999" s="5">
        <v>13410.10773033845</v>
      </c>
      <c r="C999" s="6">
        <f t="shared" si="60"/>
        <v>300000</v>
      </c>
      <c r="D999" s="5">
        <f t="shared" si="61"/>
        <v>438707.54112369148</v>
      </c>
      <c r="F999" s="4">
        <v>7453.1083101901304</v>
      </c>
      <c r="G999" s="4">
        <f t="shared" si="62"/>
        <v>300000</v>
      </c>
      <c r="H999" s="4">
        <f t="shared" si="63"/>
        <v>-80000</v>
      </c>
    </row>
    <row r="1000" spans="2:8" x14ac:dyDescent="0.35">
      <c r="B1000" s="5">
        <v>16408.398693807794</v>
      </c>
      <c r="C1000" s="6">
        <f t="shared" si="60"/>
        <v>300000</v>
      </c>
      <c r="D1000" s="5">
        <f t="shared" si="61"/>
        <v>550000</v>
      </c>
      <c r="F1000" s="4">
        <v>4086.4589373455001</v>
      </c>
      <c r="G1000" s="4">
        <f t="shared" si="62"/>
        <v>204322.94686727499</v>
      </c>
      <c r="H1000" s="4">
        <f t="shared" si="63"/>
        <v>-213947.874385815</v>
      </c>
    </row>
    <row r="1001" spans="2:8" x14ac:dyDescent="0.35">
      <c r="B1001" s="5">
        <v>16219.641712698751</v>
      </c>
      <c r="C1001" s="6">
        <f t="shared" si="60"/>
        <v>300000</v>
      </c>
      <c r="D1001" s="5">
        <f t="shared" si="61"/>
        <v>550000</v>
      </c>
      <c r="F1001" s="4">
        <v>5809.8391674550621</v>
      </c>
      <c r="G1001" s="4">
        <f t="shared" si="62"/>
        <v>290491.95837275311</v>
      </c>
      <c r="H1001" s="4">
        <f t="shared" si="63"/>
        <v>-93311.258278145629</v>
      </c>
    </row>
    <row r="1002" spans="2:8" x14ac:dyDescent="0.35">
      <c r="B1002" s="5">
        <v>15922.849208044679</v>
      </c>
      <c r="C1002" s="6">
        <f t="shared" si="60"/>
        <v>300000</v>
      </c>
      <c r="D1002" s="5">
        <f t="shared" si="61"/>
        <v>550000</v>
      </c>
      <c r="F1002" s="4">
        <v>7143.955809198279</v>
      </c>
      <c r="G1002" s="4">
        <f t="shared" si="62"/>
        <v>300000</v>
      </c>
      <c r="H1002" s="4">
        <f t="shared" si="63"/>
        <v>-80000</v>
      </c>
    </row>
    <row r="1003" spans="2:8" x14ac:dyDescent="0.35">
      <c r="B1003" s="5">
        <v>15240.455336161382</v>
      </c>
      <c r="C1003" s="6">
        <f t="shared" si="60"/>
        <v>300000</v>
      </c>
      <c r="D1003" s="5">
        <f t="shared" si="61"/>
        <v>550000</v>
      </c>
      <c r="F1003" s="4">
        <v>7005.2491836298714</v>
      </c>
      <c r="G1003" s="4">
        <f t="shared" si="62"/>
        <v>300000</v>
      </c>
      <c r="H1003" s="4">
        <f t="shared" si="63"/>
        <v>-80000</v>
      </c>
    </row>
    <row r="1004" spans="2:8" x14ac:dyDescent="0.35">
      <c r="B1004" s="5">
        <v>16993.743705557419</v>
      </c>
      <c r="C1004" s="6">
        <f t="shared" si="60"/>
        <v>300000</v>
      </c>
      <c r="D1004" s="5">
        <f t="shared" si="61"/>
        <v>550000</v>
      </c>
      <c r="F1004" s="4">
        <v>3201.5747550889614</v>
      </c>
      <c r="G1004" s="4">
        <f t="shared" si="62"/>
        <v>160078.73775444808</v>
      </c>
      <c r="H1004" s="4">
        <f t="shared" si="63"/>
        <v>-275889.76714377268</v>
      </c>
    </row>
    <row r="1005" spans="2:8" x14ac:dyDescent="0.35">
      <c r="B1005" s="5">
        <v>15151.64647358623</v>
      </c>
      <c r="C1005" s="6">
        <f t="shared" si="60"/>
        <v>300000</v>
      </c>
      <c r="D1005" s="5">
        <f t="shared" si="61"/>
        <v>550000</v>
      </c>
      <c r="F1005" s="4">
        <v>7659.5660267952517</v>
      </c>
      <c r="G1005" s="4">
        <f t="shared" si="62"/>
        <v>300000</v>
      </c>
      <c r="H1005" s="4">
        <f t="shared" si="63"/>
        <v>-80000</v>
      </c>
    </row>
    <row r="1006" spans="2:8" x14ac:dyDescent="0.35">
      <c r="B1006" s="5">
        <v>15315.073091830196</v>
      </c>
      <c r="C1006" s="6">
        <f t="shared" si="60"/>
        <v>300000</v>
      </c>
      <c r="D1006" s="5">
        <f t="shared" si="61"/>
        <v>550000</v>
      </c>
      <c r="F1006" s="4">
        <v>6479.4152653584397</v>
      </c>
      <c r="G1006" s="4">
        <f t="shared" si="62"/>
        <v>300000</v>
      </c>
      <c r="H1006" s="4">
        <f t="shared" si="63"/>
        <v>-80000</v>
      </c>
    </row>
    <row r="1007" spans="2:8" x14ac:dyDescent="0.35">
      <c r="B1007" s="5">
        <v>13742.301705984679</v>
      </c>
      <c r="C1007" s="6">
        <f t="shared" si="60"/>
        <v>300000</v>
      </c>
      <c r="D1007" s="5">
        <f t="shared" si="61"/>
        <v>461961.11941892747</v>
      </c>
      <c r="F1007" s="4">
        <v>6932.9203161717578</v>
      </c>
      <c r="G1007" s="4">
        <f t="shared" si="62"/>
        <v>300000</v>
      </c>
      <c r="H1007" s="4">
        <f t="shared" si="63"/>
        <v>-80000</v>
      </c>
    </row>
    <row r="1008" spans="2:8" x14ac:dyDescent="0.35">
      <c r="B1008" s="5">
        <v>15718.985564745017</v>
      </c>
      <c r="C1008" s="6">
        <f t="shared" si="60"/>
        <v>300000</v>
      </c>
      <c r="D1008" s="5">
        <f t="shared" si="61"/>
        <v>550000</v>
      </c>
      <c r="F1008" s="4">
        <v>6852.5040437025054</v>
      </c>
      <c r="G1008" s="4">
        <f t="shared" si="62"/>
        <v>300000</v>
      </c>
      <c r="H1008" s="4">
        <f t="shared" si="63"/>
        <v>-80000</v>
      </c>
    </row>
    <row r="1009" spans="2:8" x14ac:dyDescent="0.35">
      <c r="B1009" s="5">
        <v>13479.537339396344</v>
      </c>
      <c r="C1009" s="6">
        <f t="shared" si="60"/>
        <v>300000</v>
      </c>
      <c r="D1009" s="5">
        <f t="shared" si="61"/>
        <v>443567.61375774408</v>
      </c>
      <c r="F1009" s="4">
        <v>4696.8291268654439</v>
      </c>
      <c r="G1009" s="4">
        <f t="shared" si="62"/>
        <v>234841.45634327221</v>
      </c>
      <c r="H1009" s="4">
        <f t="shared" si="63"/>
        <v>-171221.96111941891</v>
      </c>
    </row>
    <row r="1010" spans="2:8" x14ac:dyDescent="0.35">
      <c r="B1010" s="5">
        <v>15227.790154728842</v>
      </c>
      <c r="C1010" s="6">
        <f t="shared" si="60"/>
        <v>300000</v>
      </c>
      <c r="D1010" s="5">
        <f t="shared" si="61"/>
        <v>550000</v>
      </c>
      <c r="F1010" s="4">
        <v>6526.1085848567163</v>
      </c>
      <c r="G1010" s="4">
        <f t="shared" si="62"/>
        <v>300000</v>
      </c>
      <c r="H1010" s="4">
        <f t="shared" si="63"/>
        <v>-80000</v>
      </c>
    </row>
  </sheetData>
  <mergeCells count="5">
    <mergeCell ref="B9:D9"/>
    <mergeCell ref="F9:H9"/>
    <mergeCell ref="I9:J10"/>
    <mergeCell ref="K3:K4"/>
    <mergeCell ref="K15:K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5A56B-FC35-44DB-B97A-6E478D3A37C2}">
  <dimension ref="C2:V1010"/>
  <sheetViews>
    <sheetView topLeftCell="H1" zoomScale="80" zoomScaleNormal="80" workbookViewId="0">
      <selection activeCell="U21" sqref="U21"/>
    </sheetView>
  </sheetViews>
  <sheetFormatPr defaultRowHeight="14.5" x14ac:dyDescent="0.35"/>
  <cols>
    <col min="3" max="3" width="19.7265625" bestFit="1" customWidth="1"/>
    <col min="4" max="4" width="12.36328125" bestFit="1" customWidth="1"/>
    <col min="5" max="5" width="22.453125" customWidth="1"/>
    <col min="8" max="8" width="10.453125" customWidth="1"/>
    <col min="9" max="9" width="17" customWidth="1"/>
    <col min="12" max="12" width="11.26953125" bestFit="1" customWidth="1"/>
    <col min="15" max="15" width="8.7265625" style="12"/>
    <col min="18" max="18" width="10.7265625" bestFit="1" customWidth="1"/>
    <col min="21" max="21" width="18.1796875" bestFit="1" customWidth="1"/>
    <col min="22" max="22" width="12.81640625" bestFit="1" customWidth="1"/>
  </cols>
  <sheetData>
    <row r="2" spans="3:22" x14ac:dyDescent="0.35">
      <c r="C2" s="10"/>
      <c r="D2" s="10" t="s">
        <v>1</v>
      </c>
      <c r="E2" s="10" t="s">
        <v>2</v>
      </c>
      <c r="H2" s="3" t="s">
        <v>9</v>
      </c>
      <c r="U2" t="s">
        <v>88</v>
      </c>
    </row>
    <row r="3" spans="3:22" x14ac:dyDescent="0.35">
      <c r="C3" s="11" t="s">
        <v>0</v>
      </c>
      <c r="D3" s="11">
        <v>6000</v>
      </c>
      <c r="E3" s="11">
        <v>15000</v>
      </c>
      <c r="U3" s="9">
        <f>R9</f>
        <v>253764.30555131673</v>
      </c>
      <c r="V3" s="9">
        <f>R21</f>
        <v>-117449.97863704331</v>
      </c>
    </row>
    <row r="4" spans="3:22" x14ac:dyDescent="0.35">
      <c r="C4" s="11" t="s">
        <v>3</v>
      </c>
      <c r="D4" s="11">
        <v>0</v>
      </c>
      <c r="E4" s="11">
        <v>500000</v>
      </c>
      <c r="H4" s="3" t="s">
        <v>10</v>
      </c>
      <c r="Q4" s="15" t="s">
        <v>85</v>
      </c>
      <c r="R4" s="16">
        <f>AVERAGE(D11:D1010)</f>
        <v>300000</v>
      </c>
      <c r="U4" s="17" t="s">
        <v>1</v>
      </c>
      <c r="V4" t="s">
        <v>84</v>
      </c>
    </row>
    <row r="5" spans="3:22" x14ac:dyDescent="0.35">
      <c r="C5" s="11" t="s">
        <v>4</v>
      </c>
      <c r="D5" s="11">
        <v>150</v>
      </c>
      <c r="E5" s="11">
        <v>130</v>
      </c>
      <c r="Q5" s="15" t="s">
        <v>86</v>
      </c>
      <c r="R5" s="15">
        <f>STDEV(D11:D1010)</f>
        <v>0</v>
      </c>
    </row>
    <row r="6" spans="3:22" x14ac:dyDescent="0.35">
      <c r="C6" s="11" t="s">
        <v>5</v>
      </c>
      <c r="D6" s="11">
        <v>50</v>
      </c>
      <c r="E6" s="11">
        <v>70</v>
      </c>
    </row>
    <row r="7" spans="3:22" ht="15.5" x14ac:dyDescent="0.35">
      <c r="O7" s="14" t="s">
        <v>1</v>
      </c>
    </row>
    <row r="8" spans="3:22" x14ac:dyDescent="0.35">
      <c r="U8" t="s">
        <v>89</v>
      </c>
    </row>
    <row r="9" spans="3:22" x14ac:dyDescent="0.35">
      <c r="C9" s="21" t="s">
        <v>6</v>
      </c>
      <c r="D9" s="21"/>
      <c r="E9" s="21"/>
      <c r="G9" s="21" t="s">
        <v>82</v>
      </c>
      <c r="H9" s="21"/>
      <c r="I9" s="21"/>
      <c r="Q9" s="15" t="s">
        <v>85</v>
      </c>
      <c r="R9" s="16">
        <f>AVERAGE(H11:H1010)</f>
        <v>253764.30555131673</v>
      </c>
    </row>
    <row r="10" spans="3:22" x14ac:dyDescent="0.35">
      <c r="C10" s="1" t="s">
        <v>7</v>
      </c>
      <c r="D10" s="1" t="s">
        <v>1</v>
      </c>
      <c r="E10" s="1" t="s">
        <v>2</v>
      </c>
      <c r="G10" s="1" t="s">
        <v>7</v>
      </c>
      <c r="H10" s="1" t="s">
        <v>1</v>
      </c>
      <c r="I10" s="1" t="s">
        <v>2</v>
      </c>
      <c r="Q10" s="15" t="s">
        <v>87</v>
      </c>
      <c r="R10" s="15">
        <f>STDEV(H11:H1010)</f>
        <v>50191.658558713403</v>
      </c>
      <c r="U10" s="9">
        <f>R4</f>
        <v>300000</v>
      </c>
      <c r="V10" s="9">
        <f>R16</f>
        <v>488485.97735526611</v>
      </c>
    </row>
    <row r="11" spans="3:22" x14ac:dyDescent="0.35">
      <c r="C11">
        <v>16710.226752525406</v>
      </c>
      <c r="D11" s="9">
        <f>50*MIN(C11,6000)</f>
        <v>300000</v>
      </c>
      <c r="E11" s="9">
        <f>70*MIN(C11,15000)-500000</f>
        <v>550000</v>
      </c>
      <c r="G11">
        <v>4705.2217169713431</v>
      </c>
      <c r="H11" s="9">
        <f>50*MIN(G11,6000)</f>
        <v>235261.08584856716</v>
      </c>
      <c r="I11" s="9">
        <f>70*MIN(G11,15000)-500000</f>
        <v>-170634.479812006</v>
      </c>
      <c r="U11" t="s">
        <v>1</v>
      </c>
      <c r="V11" s="17" t="s">
        <v>84</v>
      </c>
    </row>
    <row r="12" spans="3:22" x14ac:dyDescent="0.35">
      <c r="C12">
        <v>16198.583941160314</v>
      </c>
      <c r="D12" s="9">
        <f t="shared" ref="D12:D75" si="0">50*MIN(C12,6000)</f>
        <v>300000</v>
      </c>
      <c r="E12" s="9">
        <f t="shared" ref="E12:E75" si="1">70*MIN(C12,15000)-500000</f>
        <v>550000</v>
      </c>
      <c r="G12">
        <v>6077.1813104647972</v>
      </c>
      <c r="H12" s="9">
        <f>50*MIN(G12,6000)</f>
        <v>300000</v>
      </c>
      <c r="I12" s="9">
        <f t="shared" ref="I12:I75" si="2">70*MIN(G12,15000)-500000</f>
        <v>-74597.308267464221</v>
      </c>
    </row>
    <row r="13" spans="3:22" ht="21" x14ac:dyDescent="0.5">
      <c r="C13">
        <v>12627.460554826503</v>
      </c>
      <c r="D13" s="9">
        <f t="shared" si="0"/>
        <v>300000</v>
      </c>
      <c r="E13" s="9">
        <f t="shared" si="1"/>
        <v>383922.23883785517</v>
      </c>
      <c r="G13">
        <v>7717.856379894406</v>
      </c>
      <c r="H13" s="9">
        <f t="shared" ref="H13:H76" si="3">50*MIN(G13,6000)</f>
        <v>300000</v>
      </c>
      <c r="I13" s="9">
        <f t="shared" si="2"/>
        <v>40249.946592608467</v>
      </c>
      <c r="L13" s="13" t="s">
        <v>83</v>
      </c>
    </row>
    <row r="14" spans="3:22" x14ac:dyDescent="0.35">
      <c r="C14">
        <v>14817.316202276681</v>
      </c>
      <c r="D14" s="9">
        <f t="shared" si="0"/>
        <v>300000</v>
      </c>
      <c r="E14" s="9">
        <f t="shared" si="1"/>
        <v>537212.13415936765</v>
      </c>
      <c r="G14">
        <v>5416.7607654042176</v>
      </c>
      <c r="H14" s="9">
        <f t="shared" si="3"/>
        <v>270838.03827021091</v>
      </c>
      <c r="I14" s="9">
        <f t="shared" si="2"/>
        <v>-120826.74642170477</v>
      </c>
      <c r="U14" t="s">
        <v>90</v>
      </c>
    </row>
    <row r="15" spans="3:22" x14ac:dyDescent="0.35">
      <c r="C15">
        <v>12839.259010589923</v>
      </c>
      <c r="D15" s="9">
        <f t="shared" si="0"/>
        <v>300000</v>
      </c>
      <c r="E15" s="9">
        <f t="shared" si="1"/>
        <v>398748.13074129459</v>
      </c>
      <c r="G15">
        <v>7287.2402111880856</v>
      </c>
      <c r="H15" s="9">
        <f t="shared" si="3"/>
        <v>300000</v>
      </c>
      <c r="I15" s="9">
        <f t="shared" si="2"/>
        <v>10106.814783165988</v>
      </c>
    </row>
    <row r="16" spans="3:22" x14ac:dyDescent="0.35">
      <c r="C16">
        <v>15436.841944639424</v>
      </c>
      <c r="D16" s="9">
        <f t="shared" si="0"/>
        <v>300000</v>
      </c>
      <c r="E16" s="9">
        <f t="shared" si="1"/>
        <v>550000</v>
      </c>
      <c r="G16">
        <v>5785.1191747795037</v>
      </c>
      <c r="H16" s="9">
        <f t="shared" si="3"/>
        <v>289255.95873897517</v>
      </c>
      <c r="I16" s="9">
        <f t="shared" si="2"/>
        <v>-95041.657765434764</v>
      </c>
      <c r="Q16" s="15" t="s">
        <v>85</v>
      </c>
      <c r="R16" s="16">
        <f>AVERAGE(E11:E1010)</f>
        <v>488485.97735526611</v>
      </c>
      <c r="U16" t="s">
        <v>1</v>
      </c>
      <c r="V16" s="19">
        <f>R4*0.5+R9*0.5</f>
        <v>276882.15277565835</v>
      </c>
    </row>
    <row r="17" spans="3:22" x14ac:dyDescent="0.35">
      <c r="C17">
        <v>13843.012787255471</v>
      </c>
      <c r="D17" s="9">
        <f t="shared" si="0"/>
        <v>300000</v>
      </c>
      <c r="E17" s="9">
        <f t="shared" si="1"/>
        <v>469010.89510788303</v>
      </c>
      <c r="G17">
        <v>3429.5480208746603</v>
      </c>
      <c r="H17" s="9">
        <f t="shared" si="3"/>
        <v>171477.40104373303</v>
      </c>
      <c r="I17" s="9">
        <f t="shared" si="2"/>
        <v>-259931.63853877378</v>
      </c>
      <c r="Q17" s="15" t="s">
        <v>86</v>
      </c>
      <c r="R17" s="15">
        <f>STDEV(E11:E1010)</f>
        <v>68080.283284473466</v>
      </c>
      <c r="U17" t="s">
        <v>84</v>
      </c>
      <c r="V17" s="18">
        <f>R16*0.5+R21*0.5</f>
        <v>185517.99935911139</v>
      </c>
    </row>
    <row r="18" spans="3:22" x14ac:dyDescent="0.35">
      <c r="C18">
        <v>13960.356456190679</v>
      </c>
      <c r="D18" s="9">
        <f t="shared" si="0"/>
        <v>300000</v>
      </c>
      <c r="E18" s="9">
        <f t="shared" si="1"/>
        <v>477224.9519333475</v>
      </c>
      <c r="G18">
        <v>7181.4935758537549</v>
      </c>
      <c r="H18" s="9">
        <f t="shared" si="3"/>
        <v>300000</v>
      </c>
      <c r="I18" s="9">
        <f t="shared" si="2"/>
        <v>2704.5503097628243</v>
      </c>
    </row>
    <row r="19" spans="3:22" ht="15.5" x14ac:dyDescent="0.35">
      <c r="C19">
        <v>13300.24109622486</v>
      </c>
      <c r="D19" s="9">
        <f t="shared" si="0"/>
        <v>300000</v>
      </c>
      <c r="E19" s="9">
        <f t="shared" si="1"/>
        <v>431016.87673574022</v>
      </c>
      <c r="G19">
        <v>5067.3238319040502</v>
      </c>
      <c r="H19" s="9">
        <f t="shared" si="3"/>
        <v>253366.19159520252</v>
      </c>
      <c r="I19" s="9">
        <f t="shared" si="2"/>
        <v>-145287.3317667165</v>
      </c>
      <c r="O19" s="14" t="s">
        <v>84</v>
      </c>
    </row>
    <row r="20" spans="3:22" x14ac:dyDescent="0.35">
      <c r="C20">
        <v>16602.954191717276</v>
      </c>
      <c r="D20" s="9">
        <f t="shared" si="0"/>
        <v>300000</v>
      </c>
      <c r="E20" s="9">
        <f t="shared" si="1"/>
        <v>550000</v>
      </c>
      <c r="G20">
        <v>3895.5656605731374</v>
      </c>
      <c r="H20" s="9">
        <f t="shared" si="3"/>
        <v>194778.28302865688</v>
      </c>
      <c r="I20" s="9">
        <f t="shared" si="2"/>
        <v>-227310.4037598804</v>
      </c>
    </row>
    <row r="21" spans="3:22" x14ac:dyDescent="0.35">
      <c r="C21">
        <v>14034.669026764732</v>
      </c>
      <c r="D21" s="9">
        <f t="shared" si="0"/>
        <v>300000</v>
      </c>
      <c r="E21" s="9">
        <f t="shared" si="1"/>
        <v>482426.83187353122</v>
      </c>
      <c r="G21">
        <v>7723.5023041474651</v>
      </c>
      <c r="H21" s="9">
        <f t="shared" si="3"/>
        <v>300000</v>
      </c>
      <c r="I21" s="9">
        <f t="shared" si="2"/>
        <v>40645.161290322547</v>
      </c>
      <c r="Q21" s="15" t="s">
        <v>85</v>
      </c>
      <c r="R21" s="16">
        <f>AVERAGE(I11:I1010)</f>
        <v>-117449.97863704331</v>
      </c>
    </row>
    <row r="22" spans="3:22" x14ac:dyDescent="0.35">
      <c r="C22">
        <v>13302.682576982939</v>
      </c>
      <c r="D22" s="9">
        <f t="shared" si="0"/>
        <v>300000</v>
      </c>
      <c r="E22" s="9">
        <f t="shared" si="1"/>
        <v>431187.78038880578</v>
      </c>
      <c r="G22">
        <v>4488.998077333903</v>
      </c>
      <c r="H22" s="9">
        <f t="shared" si="3"/>
        <v>224449.90386669515</v>
      </c>
      <c r="I22" s="9">
        <f t="shared" si="2"/>
        <v>-185770.13458662678</v>
      </c>
      <c r="Q22" s="15" t="s">
        <v>87</v>
      </c>
      <c r="R22" s="15">
        <f>STDEV(I11:I1010)</f>
        <v>101156.36004161746</v>
      </c>
    </row>
    <row r="23" spans="3:22" x14ac:dyDescent="0.35">
      <c r="C23">
        <v>12563.219092379528</v>
      </c>
      <c r="D23" s="9">
        <f t="shared" si="0"/>
        <v>300000</v>
      </c>
      <c r="E23" s="9">
        <f t="shared" si="1"/>
        <v>379425.33646656689</v>
      </c>
      <c r="G23">
        <v>4384.0144047364729</v>
      </c>
      <c r="H23" s="9">
        <f t="shared" si="3"/>
        <v>219200.72023682363</v>
      </c>
      <c r="I23" s="9">
        <f t="shared" si="2"/>
        <v>-193118.99166844692</v>
      </c>
    </row>
    <row r="24" spans="3:22" x14ac:dyDescent="0.35">
      <c r="C24">
        <v>15820.917386394849</v>
      </c>
      <c r="D24" s="9">
        <f t="shared" si="0"/>
        <v>300000</v>
      </c>
      <c r="E24" s="9">
        <f t="shared" si="1"/>
        <v>550000</v>
      </c>
      <c r="G24">
        <v>6806.8788720358898</v>
      </c>
      <c r="H24" s="9">
        <f t="shared" si="3"/>
        <v>300000</v>
      </c>
      <c r="I24" s="9">
        <f t="shared" si="2"/>
        <v>-23518.478957487736</v>
      </c>
    </row>
    <row r="25" spans="3:22" x14ac:dyDescent="0.35">
      <c r="C25">
        <v>13728.87356181524</v>
      </c>
      <c r="D25" s="9">
        <f t="shared" si="0"/>
        <v>300000</v>
      </c>
      <c r="E25" s="9">
        <f t="shared" si="1"/>
        <v>461021.14932706684</v>
      </c>
      <c r="G25">
        <v>7666.4326914273506</v>
      </c>
      <c r="H25" s="9">
        <f t="shared" si="3"/>
        <v>300000</v>
      </c>
      <c r="I25" s="9">
        <f t="shared" si="2"/>
        <v>36650.288399914512</v>
      </c>
    </row>
    <row r="26" spans="3:22" x14ac:dyDescent="0.35">
      <c r="C26">
        <v>12067.293313394573</v>
      </c>
      <c r="D26" s="9">
        <f t="shared" si="0"/>
        <v>300000</v>
      </c>
      <c r="E26" s="9">
        <f t="shared" si="1"/>
        <v>344710.53193762014</v>
      </c>
      <c r="G26">
        <v>4851.1001922666101</v>
      </c>
      <c r="H26" s="9">
        <f t="shared" si="3"/>
        <v>242555.00961333051</v>
      </c>
      <c r="I26" s="9">
        <f t="shared" si="2"/>
        <v>-160422.98654133728</v>
      </c>
    </row>
    <row r="27" spans="3:22" x14ac:dyDescent="0.35">
      <c r="C27">
        <v>13049.226355784784</v>
      </c>
      <c r="D27" s="9">
        <f t="shared" si="0"/>
        <v>300000</v>
      </c>
      <c r="E27" s="9">
        <f t="shared" si="1"/>
        <v>413445.84490493487</v>
      </c>
      <c r="G27">
        <v>4062.8070925016023</v>
      </c>
      <c r="H27" s="9">
        <f t="shared" si="3"/>
        <v>203140.3546250801</v>
      </c>
      <c r="I27" s="9">
        <f t="shared" si="2"/>
        <v>-215603.50352488784</v>
      </c>
    </row>
    <row r="28" spans="3:22" x14ac:dyDescent="0.35">
      <c r="C28">
        <v>13056.550798059023</v>
      </c>
      <c r="D28" s="9">
        <f t="shared" si="0"/>
        <v>300000</v>
      </c>
      <c r="E28" s="9">
        <f t="shared" si="1"/>
        <v>413958.55586413154</v>
      </c>
      <c r="G28">
        <v>6461.8671224097416</v>
      </c>
      <c r="H28" s="9">
        <f t="shared" si="3"/>
        <v>300000</v>
      </c>
      <c r="I28" s="9">
        <f t="shared" si="2"/>
        <v>-47669.301431318105</v>
      </c>
    </row>
    <row r="29" spans="3:22" x14ac:dyDescent="0.35">
      <c r="C29">
        <v>13841.944639423811</v>
      </c>
      <c r="D29" s="9">
        <f t="shared" si="0"/>
        <v>300000</v>
      </c>
      <c r="E29" s="9">
        <f t="shared" si="1"/>
        <v>468936.12475966674</v>
      </c>
      <c r="G29">
        <v>4668.1417279580064</v>
      </c>
      <c r="H29" s="9">
        <f t="shared" si="3"/>
        <v>233407.08639790033</v>
      </c>
      <c r="I29" s="9">
        <f t="shared" si="2"/>
        <v>-173230.07904293953</v>
      </c>
    </row>
    <row r="30" spans="3:22" x14ac:dyDescent="0.35">
      <c r="C30">
        <v>12567.339091158789</v>
      </c>
      <c r="D30" s="9">
        <f t="shared" si="0"/>
        <v>300000</v>
      </c>
      <c r="E30" s="9">
        <f t="shared" si="1"/>
        <v>379713.73638111516</v>
      </c>
      <c r="G30">
        <v>4822.5653859065524</v>
      </c>
      <c r="H30" s="9">
        <f t="shared" si="3"/>
        <v>241128.26929532763</v>
      </c>
      <c r="I30" s="9">
        <f t="shared" si="2"/>
        <v>-162420.42298654135</v>
      </c>
    </row>
    <row r="31" spans="3:22" x14ac:dyDescent="0.35">
      <c r="C31">
        <v>15136.082033753471</v>
      </c>
      <c r="D31" s="9">
        <f t="shared" si="0"/>
        <v>300000</v>
      </c>
      <c r="E31" s="9">
        <f t="shared" si="1"/>
        <v>550000</v>
      </c>
      <c r="G31">
        <v>4587.7254554887541</v>
      </c>
      <c r="H31" s="9">
        <f t="shared" si="3"/>
        <v>229386.2727744377</v>
      </c>
      <c r="I31" s="9">
        <f t="shared" si="2"/>
        <v>-178859.2181157872</v>
      </c>
    </row>
    <row r="32" spans="3:22" x14ac:dyDescent="0.35">
      <c r="C32">
        <v>12725.577562791834</v>
      </c>
      <c r="D32" s="9">
        <f t="shared" si="0"/>
        <v>300000</v>
      </c>
      <c r="E32" s="9">
        <f t="shared" si="1"/>
        <v>390790.42939542839</v>
      </c>
      <c r="G32">
        <v>3461.8976409192173</v>
      </c>
      <c r="H32" s="9">
        <f t="shared" si="3"/>
        <v>173094.88204596087</v>
      </c>
      <c r="I32" s="9">
        <f t="shared" si="2"/>
        <v>-257667.1651356548</v>
      </c>
    </row>
    <row r="33" spans="3:9" x14ac:dyDescent="0.35">
      <c r="C33">
        <v>16978.484450819422</v>
      </c>
      <c r="D33" s="9">
        <f t="shared" si="0"/>
        <v>300000</v>
      </c>
      <c r="E33" s="9">
        <f t="shared" si="1"/>
        <v>550000</v>
      </c>
      <c r="G33">
        <v>3265.2058473464158</v>
      </c>
      <c r="H33" s="9">
        <f t="shared" si="3"/>
        <v>163260.2923673208</v>
      </c>
      <c r="I33" s="9">
        <f t="shared" si="2"/>
        <v>-271435.59068575088</v>
      </c>
    </row>
    <row r="34" spans="3:9" x14ac:dyDescent="0.35">
      <c r="C34">
        <v>16932.401501510667</v>
      </c>
      <c r="D34" s="9">
        <f t="shared" si="0"/>
        <v>300000</v>
      </c>
      <c r="E34" s="9">
        <f t="shared" si="1"/>
        <v>550000</v>
      </c>
      <c r="G34">
        <v>4272.4692526017025</v>
      </c>
      <c r="H34" s="9">
        <f t="shared" si="3"/>
        <v>213623.46263008512</v>
      </c>
      <c r="I34" s="9">
        <f t="shared" si="2"/>
        <v>-200927.15231788083</v>
      </c>
    </row>
    <row r="35" spans="3:9" x14ac:dyDescent="0.35">
      <c r="C35">
        <v>15103.122043519394</v>
      </c>
      <c r="D35" s="9">
        <f t="shared" si="0"/>
        <v>300000</v>
      </c>
      <c r="E35" s="9">
        <f t="shared" si="1"/>
        <v>550000</v>
      </c>
      <c r="G35">
        <v>3414.136173589282</v>
      </c>
      <c r="H35" s="9">
        <f t="shared" si="3"/>
        <v>170706.8086794641</v>
      </c>
      <c r="I35" s="9">
        <f t="shared" si="2"/>
        <v>-261010.46784875027</v>
      </c>
    </row>
    <row r="36" spans="3:9" x14ac:dyDescent="0.35">
      <c r="C36">
        <v>15484.145634327218</v>
      </c>
      <c r="D36" s="9">
        <f t="shared" si="0"/>
        <v>300000</v>
      </c>
      <c r="E36" s="9">
        <f t="shared" si="1"/>
        <v>550000</v>
      </c>
      <c r="G36">
        <v>6752.0981475264743</v>
      </c>
      <c r="H36" s="9">
        <f t="shared" si="3"/>
        <v>300000</v>
      </c>
      <c r="I36" s="9">
        <f t="shared" si="2"/>
        <v>-27353.129673146817</v>
      </c>
    </row>
    <row r="37" spans="3:9" x14ac:dyDescent="0.35">
      <c r="C37">
        <v>15186.284981841487</v>
      </c>
      <c r="D37" s="9">
        <f t="shared" si="0"/>
        <v>300000</v>
      </c>
      <c r="E37" s="9">
        <f t="shared" si="1"/>
        <v>550000</v>
      </c>
      <c r="G37">
        <v>5189.3978698080391</v>
      </c>
      <c r="H37" s="9">
        <f t="shared" si="3"/>
        <v>259469.89349040197</v>
      </c>
      <c r="I37" s="9">
        <f t="shared" si="2"/>
        <v>-136742.14911343728</v>
      </c>
    </row>
    <row r="38" spans="3:9" x14ac:dyDescent="0.35">
      <c r="C38">
        <v>14470.015564439833</v>
      </c>
      <c r="D38" s="9">
        <f t="shared" si="0"/>
        <v>300000</v>
      </c>
      <c r="E38" s="9">
        <f t="shared" si="1"/>
        <v>512901.08951078833</v>
      </c>
      <c r="G38">
        <v>4805.6276131473742</v>
      </c>
      <c r="H38" s="9">
        <f t="shared" si="3"/>
        <v>240281.38065736872</v>
      </c>
      <c r="I38" s="9">
        <f t="shared" si="2"/>
        <v>-163606.06707968382</v>
      </c>
    </row>
    <row r="39" spans="3:9" x14ac:dyDescent="0.35">
      <c r="C39">
        <v>16172.490615558338</v>
      </c>
      <c r="D39" s="9">
        <f t="shared" si="0"/>
        <v>300000</v>
      </c>
      <c r="E39" s="9">
        <f t="shared" si="1"/>
        <v>550000</v>
      </c>
      <c r="G39">
        <v>7830.7748649555951</v>
      </c>
      <c r="H39" s="9">
        <f t="shared" si="3"/>
        <v>300000</v>
      </c>
      <c r="I39" s="9">
        <f t="shared" si="2"/>
        <v>48154.240546891699</v>
      </c>
    </row>
    <row r="40" spans="3:9" x14ac:dyDescent="0.35">
      <c r="C40">
        <v>15731.498153630177</v>
      </c>
      <c r="D40" s="9">
        <f t="shared" si="0"/>
        <v>300000</v>
      </c>
      <c r="E40" s="9">
        <f t="shared" si="1"/>
        <v>550000</v>
      </c>
      <c r="G40">
        <v>5660.6036561174351</v>
      </c>
      <c r="H40" s="9">
        <f t="shared" si="3"/>
        <v>283030.18280587177</v>
      </c>
      <c r="I40" s="9">
        <f t="shared" si="2"/>
        <v>-103757.74407177954</v>
      </c>
    </row>
    <row r="41" spans="3:9" x14ac:dyDescent="0.35">
      <c r="C41">
        <v>15572.649311807611</v>
      </c>
      <c r="D41" s="9">
        <f t="shared" si="0"/>
        <v>300000</v>
      </c>
      <c r="E41" s="9">
        <f t="shared" si="1"/>
        <v>550000</v>
      </c>
      <c r="G41">
        <v>6374.5841853083894</v>
      </c>
      <c r="H41" s="9">
        <f t="shared" si="3"/>
        <v>300000</v>
      </c>
      <c r="I41" s="9">
        <f t="shared" si="2"/>
        <v>-53779.107028412749</v>
      </c>
    </row>
    <row r="42" spans="3:9" x14ac:dyDescent="0.35">
      <c r="C42">
        <v>15443.556016724142</v>
      </c>
      <c r="D42" s="9">
        <f t="shared" si="0"/>
        <v>300000</v>
      </c>
      <c r="E42" s="9">
        <f t="shared" si="1"/>
        <v>550000</v>
      </c>
      <c r="G42">
        <v>4364.0247810296951</v>
      </c>
      <c r="H42" s="9">
        <f t="shared" si="3"/>
        <v>218201.23905148476</v>
      </c>
      <c r="I42" s="9">
        <f t="shared" si="2"/>
        <v>-194518.26532792137</v>
      </c>
    </row>
    <row r="43" spans="3:9" x14ac:dyDescent="0.35">
      <c r="C43">
        <v>15300.729392376477</v>
      </c>
      <c r="D43" s="9">
        <f t="shared" si="0"/>
        <v>300000</v>
      </c>
      <c r="E43" s="9">
        <f t="shared" si="1"/>
        <v>550000</v>
      </c>
      <c r="G43">
        <v>4276.1314737388229</v>
      </c>
      <c r="H43" s="9">
        <f t="shared" si="3"/>
        <v>213806.57368694115</v>
      </c>
      <c r="I43" s="9">
        <f t="shared" si="2"/>
        <v>-200670.79683828237</v>
      </c>
    </row>
    <row r="44" spans="3:9" x14ac:dyDescent="0.35">
      <c r="C44">
        <v>16857.478560747091</v>
      </c>
      <c r="D44" s="9">
        <f t="shared" si="0"/>
        <v>300000</v>
      </c>
      <c r="E44" s="9">
        <f t="shared" si="1"/>
        <v>550000</v>
      </c>
      <c r="G44">
        <v>7572.588274788659</v>
      </c>
      <c r="H44" s="9">
        <f t="shared" si="3"/>
        <v>300000</v>
      </c>
      <c r="I44" s="9">
        <f t="shared" si="2"/>
        <v>30081.179235206102</v>
      </c>
    </row>
    <row r="45" spans="3:9" x14ac:dyDescent="0.35">
      <c r="C45">
        <v>12686.971648304698</v>
      </c>
      <c r="D45" s="9">
        <f t="shared" si="0"/>
        <v>300000</v>
      </c>
      <c r="E45" s="9">
        <f t="shared" si="1"/>
        <v>388088.01538132888</v>
      </c>
      <c r="G45">
        <v>7060.3350932340463</v>
      </c>
      <c r="H45" s="9">
        <f t="shared" si="3"/>
        <v>300000</v>
      </c>
      <c r="I45" s="9">
        <f t="shared" si="2"/>
        <v>-5776.5434736167663</v>
      </c>
    </row>
    <row r="46" spans="3:9" x14ac:dyDescent="0.35">
      <c r="C46">
        <v>14546.617023224586</v>
      </c>
      <c r="D46" s="9">
        <f t="shared" si="0"/>
        <v>300000</v>
      </c>
      <c r="E46" s="9">
        <f t="shared" si="1"/>
        <v>518263.19162572105</v>
      </c>
      <c r="G46">
        <v>7544.0534684286022</v>
      </c>
      <c r="H46" s="9">
        <f t="shared" si="3"/>
        <v>300000</v>
      </c>
      <c r="I46" s="9">
        <f t="shared" si="2"/>
        <v>28083.742790002143</v>
      </c>
    </row>
    <row r="47" spans="3:9" x14ac:dyDescent="0.35">
      <c r="C47">
        <v>15880.733664967804</v>
      </c>
      <c r="D47" s="9">
        <f t="shared" si="0"/>
        <v>300000</v>
      </c>
      <c r="E47" s="9">
        <f t="shared" si="1"/>
        <v>550000</v>
      </c>
      <c r="G47">
        <v>5517.9296243171484</v>
      </c>
      <c r="H47" s="9">
        <f t="shared" si="3"/>
        <v>275896.48121585744</v>
      </c>
      <c r="I47" s="9">
        <f t="shared" si="2"/>
        <v>-113744.92629779963</v>
      </c>
    </row>
    <row r="48" spans="3:9" x14ac:dyDescent="0.35">
      <c r="C48">
        <v>13765.037995544299</v>
      </c>
      <c r="D48" s="9">
        <f t="shared" si="0"/>
        <v>300000</v>
      </c>
      <c r="E48" s="9">
        <f t="shared" si="1"/>
        <v>463552.65968810092</v>
      </c>
      <c r="G48">
        <v>7019.8980681783505</v>
      </c>
      <c r="H48" s="9">
        <f t="shared" si="3"/>
        <v>300000</v>
      </c>
      <c r="I48" s="9">
        <f t="shared" si="2"/>
        <v>-8607.1352275154786</v>
      </c>
    </row>
    <row r="49" spans="3:9" x14ac:dyDescent="0.35">
      <c r="C49">
        <v>14078.92086550493</v>
      </c>
      <c r="D49" s="9">
        <f t="shared" si="0"/>
        <v>300000</v>
      </c>
      <c r="E49" s="9">
        <f t="shared" si="1"/>
        <v>485524.46058534505</v>
      </c>
      <c r="G49">
        <v>7647.3586230048522</v>
      </c>
      <c r="H49" s="9">
        <f t="shared" si="3"/>
        <v>300000</v>
      </c>
      <c r="I49" s="9">
        <f t="shared" si="2"/>
        <v>35315.103610339691</v>
      </c>
    </row>
    <row r="50" spans="3:9" x14ac:dyDescent="0.35">
      <c r="C50">
        <v>14856.227301858577</v>
      </c>
      <c r="D50" s="9">
        <f t="shared" si="0"/>
        <v>300000</v>
      </c>
      <c r="E50" s="9">
        <f t="shared" si="1"/>
        <v>539935.91113010037</v>
      </c>
      <c r="G50">
        <v>3654.4694357127601</v>
      </c>
      <c r="H50" s="9">
        <f t="shared" si="3"/>
        <v>182723.47178563802</v>
      </c>
      <c r="I50" s="9">
        <f t="shared" si="2"/>
        <v>-244187.1395001068</v>
      </c>
    </row>
    <row r="51" spans="3:9" x14ac:dyDescent="0.35">
      <c r="C51">
        <v>14005.523850215155</v>
      </c>
      <c r="D51" s="9">
        <f t="shared" si="0"/>
        <v>300000</v>
      </c>
      <c r="E51" s="9">
        <f t="shared" si="1"/>
        <v>480386.66951506084</v>
      </c>
      <c r="G51">
        <v>4598.1017487105928</v>
      </c>
      <c r="H51" s="9">
        <f t="shared" si="3"/>
        <v>229905.08743552963</v>
      </c>
      <c r="I51" s="9">
        <f t="shared" si="2"/>
        <v>-178132.87759025849</v>
      </c>
    </row>
    <row r="52" spans="3:9" x14ac:dyDescent="0.35">
      <c r="C52">
        <v>14699.667348246712</v>
      </c>
      <c r="D52" s="9">
        <f t="shared" si="0"/>
        <v>300000</v>
      </c>
      <c r="E52" s="9">
        <f t="shared" si="1"/>
        <v>528976.71437726985</v>
      </c>
      <c r="G52">
        <v>4468.8558610797445</v>
      </c>
      <c r="H52" s="9">
        <f t="shared" si="3"/>
        <v>223442.79305398723</v>
      </c>
      <c r="I52" s="9">
        <f t="shared" si="2"/>
        <v>-187180.08972441789</v>
      </c>
    </row>
    <row r="53" spans="3:9" x14ac:dyDescent="0.35">
      <c r="C53">
        <v>12934.629352702414</v>
      </c>
      <c r="D53" s="9">
        <f t="shared" si="0"/>
        <v>300000</v>
      </c>
      <c r="E53" s="9">
        <f t="shared" si="1"/>
        <v>405424.05468916893</v>
      </c>
      <c r="G53">
        <v>5459.7918637653738</v>
      </c>
      <c r="H53" s="9">
        <f t="shared" si="3"/>
        <v>272989.59318826871</v>
      </c>
      <c r="I53" s="9">
        <f t="shared" si="2"/>
        <v>-117814.56953642383</v>
      </c>
    </row>
    <row r="54" spans="3:9" x14ac:dyDescent="0.35">
      <c r="C54">
        <v>15546.098208563493</v>
      </c>
      <c r="D54" s="9">
        <f t="shared" si="0"/>
        <v>300000</v>
      </c>
      <c r="E54" s="9">
        <f t="shared" si="1"/>
        <v>550000</v>
      </c>
      <c r="G54">
        <v>7052.7054658650468</v>
      </c>
      <c r="H54" s="9">
        <f t="shared" si="3"/>
        <v>300000</v>
      </c>
      <c r="I54" s="9">
        <f t="shared" si="2"/>
        <v>-6310.6173894467065</v>
      </c>
    </row>
    <row r="55" spans="3:9" x14ac:dyDescent="0.35">
      <c r="C55">
        <v>13455.885494552445</v>
      </c>
      <c r="D55" s="9">
        <f t="shared" si="0"/>
        <v>300000</v>
      </c>
      <c r="E55" s="9">
        <f t="shared" si="1"/>
        <v>441911.98461867112</v>
      </c>
      <c r="G55">
        <v>6953.215124973296</v>
      </c>
      <c r="H55" s="9">
        <f t="shared" si="3"/>
        <v>300000</v>
      </c>
      <c r="I55" s="9">
        <f t="shared" si="2"/>
        <v>-13274.941251869255</v>
      </c>
    </row>
    <row r="56" spans="3:9" x14ac:dyDescent="0.35">
      <c r="C56">
        <v>16916.226691488388</v>
      </c>
      <c r="D56" s="9">
        <f t="shared" si="0"/>
        <v>300000</v>
      </c>
      <c r="E56" s="9">
        <f t="shared" si="1"/>
        <v>550000</v>
      </c>
      <c r="G56">
        <v>5585.6807153538621</v>
      </c>
      <c r="H56" s="9">
        <f t="shared" si="3"/>
        <v>279284.03576769313</v>
      </c>
      <c r="I56" s="9">
        <f t="shared" si="2"/>
        <v>-109002.34992522968</v>
      </c>
    </row>
    <row r="57" spans="3:9" x14ac:dyDescent="0.35">
      <c r="C57">
        <v>14201.605273598438</v>
      </c>
      <c r="D57" s="9">
        <f t="shared" si="0"/>
        <v>300000</v>
      </c>
      <c r="E57" s="9">
        <f t="shared" si="1"/>
        <v>494112.36915189063</v>
      </c>
      <c r="G57">
        <v>5074.0379039887684</v>
      </c>
      <c r="H57" s="9">
        <f t="shared" si="3"/>
        <v>253701.89519943841</v>
      </c>
      <c r="I57" s="9">
        <f t="shared" si="2"/>
        <v>-144817.34672078618</v>
      </c>
    </row>
    <row r="58" spans="3:9" x14ac:dyDescent="0.35">
      <c r="C58">
        <v>14140.110477004302</v>
      </c>
      <c r="D58" s="9">
        <f t="shared" si="0"/>
        <v>300000</v>
      </c>
      <c r="E58" s="9">
        <f t="shared" si="1"/>
        <v>489807.73339030112</v>
      </c>
      <c r="G58">
        <v>6785.9736930448316</v>
      </c>
      <c r="H58" s="9">
        <f t="shared" si="3"/>
        <v>300000</v>
      </c>
      <c r="I58" s="9">
        <f t="shared" si="2"/>
        <v>-24981.841486861813</v>
      </c>
    </row>
    <row r="59" spans="3:9" x14ac:dyDescent="0.35">
      <c r="C59">
        <v>12062.257759331034</v>
      </c>
      <c r="D59" s="9">
        <f t="shared" si="0"/>
        <v>300000</v>
      </c>
      <c r="E59" s="9">
        <f t="shared" si="1"/>
        <v>344358.04315317236</v>
      </c>
      <c r="G59">
        <v>4613.0558183538315</v>
      </c>
      <c r="H59" s="9">
        <f t="shared" si="3"/>
        <v>230652.79091769157</v>
      </c>
      <c r="I59" s="9">
        <f t="shared" si="2"/>
        <v>-177086.09271523182</v>
      </c>
    </row>
    <row r="60" spans="3:9" x14ac:dyDescent="0.35">
      <c r="C60">
        <v>13214.636677144688</v>
      </c>
      <c r="D60" s="9">
        <f t="shared" si="0"/>
        <v>300000</v>
      </c>
      <c r="E60" s="9">
        <f t="shared" si="1"/>
        <v>425024.56740012823</v>
      </c>
      <c r="G60">
        <v>4262.0929593798637</v>
      </c>
      <c r="H60" s="9">
        <f t="shared" si="3"/>
        <v>213104.64796899317</v>
      </c>
      <c r="I60" s="9">
        <f t="shared" si="2"/>
        <v>-201653.49284340953</v>
      </c>
    </row>
    <row r="61" spans="3:9" x14ac:dyDescent="0.35">
      <c r="C61">
        <v>13103.549302652058</v>
      </c>
      <c r="D61" s="9">
        <f t="shared" si="0"/>
        <v>300000</v>
      </c>
      <c r="E61" s="9">
        <f t="shared" si="1"/>
        <v>417248.45118564402</v>
      </c>
      <c r="G61">
        <v>7366.4357432782981</v>
      </c>
      <c r="H61" s="9">
        <f t="shared" si="3"/>
        <v>300000</v>
      </c>
      <c r="I61" s="9">
        <f t="shared" si="2"/>
        <v>15650.502029480878</v>
      </c>
    </row>
    <row r="62" spans="3:9" x14ac:dyDescent="0.35">
      <c r="C62">
        <v>16589.526047547839</v>
      </c>
      <c r="D62" s="9">
        <f t="shared" si="0"/>
        <v>300000</v>
      </c>
      <c r="E62" s="9">
        <f t="shared" si="1"/>
        <v>550000</v>
      </c>
      <c r="G62">
        <v>5071.2912381359292</v>
      </c>
      <c r="H62" s="9">
        <f t="shared" si="3"/>
        <v>253564.56190679647</v>
      </c>
      <c r="I62" s="9">
        <f t="shared" si="2"/>
        <v>-145009.61333048495</v>
      </c>
    </row>
    <row r="63" spans="3:9" x14ac:dyDescent="0.35">
      <c r="C63">
        <v>14600.93997009186</v>
      </c>
      <c r="D63" s="9">
        <f t="shared" si="0"/>
        <v>300000</v>
      </c>
      <c r="E63" s="9">
        <f t="shared" si="1"/>
        <v>522065.79790643021</v>
      </c>
      <c r="G63">
        <v>3889.004181035798</v>
      </c>
      <c r="H63" s="9">
        <f t="shared" si="3"/>
        <v>194450.20905178989</v>
      </c>
      <c r="I63" s="9">
        <f t="shared" si="2"/>
        <v>-227769.70732749416</v>
      </c>
    </row>
    <row r="64" spans="3:9" x14ac:dyDescent="0.35">
      <c r="C64">
        <v>13878.109073152867</v>
      </c>
      <c r="D64" s="9">
        <f t="shared" si="0"/>
        <v>300000</v>
      </c>
      <c r="E64" s="9">
        <f t="shared" si="1"/>
        <v>471467.6351207007</v>
      </c>
      <c r="G64">
        <v>5181.4630573442792</v>
      </c>
      <c r="H64" s="9">
        <f t="shared" si="3"/>
        <v>259073.15286721397</v>
      </c>
      <c r="I64" s="9">
        <f t="shared" si="2"/>
        <v>-137297.58598590048</v>
      </c>
    </row>
    <row r="65" spans="3:9" x14ac:dyDescent="0.35">
      <c r="C65">
        <v>12457.167271950439</v>
      </c>
      <c r="D65" s="9">
        <f t="shared" si="0"/>
        <v>300000</v>
      </c>
      <c r="E65" s="9">
        <f t="shared" si="1"/>
        <v>372001.70903653069</v>
      </c>
      <c r="G65">
        <v>4938.9934995574822</v>
      </c>
      <c r="H65" s="9">
        <f t="shared" si="3"/>
        <v>246949.67497787412</v>
      </c>
      <c r="I65" s="9">
        <f t="shared" si="2"/>
        <v>-154270.45503097627</v>
      </c>
    </row>
    <row r="66" spans="3:9" x14ac:dyDescent="0.35">
      <c r="C66">
        <v>15951.994384594256</v>
      </c>
      <c r="D66" s="9">
        <f t="shared" si="0"/>
        <v>300000</v>
      </c>
      <c r="E66" s="9">
        <f t="shared" si="1"/>
        <v>550000</v>
      </c>
      <c r="G66">
        <v>6643.9100314340649</v>
      </c>
      <c r="H66" s="9">
        <f t="shared" si="3"/>
        <v>300000</v>
      </c>
      <c r="I66" s="9">
        <f t="shared" si="2"/>
        <v>-34926.29779961548</v>
      </c>
    </row>
    <row r="67" spans="3:9" x14ac:dyDescent="0.35">
      <c r="C67">
        <v>14879.573961607715</v>
      </c>
      <c r="D67" s="9">
        <f t="shared" si="0"/>
        <v>300000</v>
      </c>
      <c r="E67" s="9">
        <f t="shared" si="1"/>
        <v>541570.17731254012</v>
      </c>
      <c r="G67">
        <v>5450.4837183751952</v>
      </c>
      <c r="H67" s="9">
        <f t="shared" si="3"/>
        <v>272524.18591875979</v>
      </c>
      <c r="I67" s="9">
        <f t="shared" si="2"/>
        <v>-118466.13971373637</v>
      </c>
    </row>
    <row r="68" spans="3:9" x14ac:dyDescent="0.35">
      <c r="C68">
        <v>16040.040284432509</v>
      </c>
      <c r="D68" s="9">
        <f t="shared" si="0"/>
        <v>300000</v>
      </c>
      <c r="E68" s="9">
        <f t="shared" si="1"/>
        <v>550000</v>
      </c>
      <c r="G68">
        <v>4208.3803827021093</v>
      </c>
      <c r="H68" s="9">
        <f t="shared" si="3"/>
        <v>210419.01913510545</v>
      </c>
      <c r="I68" s="9">
        <f t="shared" si="2"/>
        <v>-205413.37321085233</v>
      </c>
    </row>
    <row r="69" spans="3:9" x14ac:dyDescent="0.35">
      <c r="C69">
        <v>12690.481276894436</v>
      </c>
      <c r="D69" s="9">
        <f t="shared" si="0"/>
        <v>300000</v>
      </c>
      <c r="E69" s="9">
        <f t="shared" si="1"/>
        <v>388333.68938261049</v>
      </c>
      <c r="G69">
        <v>4078.2189397869806</v>
      </c>
      <c r="H69" s="9">
        <f t="shared" si="3"/>
        <v>203910.94698934903</v>
      </c>
      <c r="I69" s="9">
        <f t="shared" si="2"/>
        <v>-214524.67421491136</v>
      </c>
    </row>
    <row r="70" spans="3:9" x14ac:dyDescent="0.35">
      <c r="C70">
        <v>12956.144901882992</v>
      </c>
      <c r="D70" s="9">
        <f t="shared" si="0"/>
        <v>300000</v>
      </c>
      <c r="E70" s="9">
        <f t="shared" si="1"/>
        <v>406930.14313180943</v>
      </c>
      <c r="G70">
        <v>3506.3020722067936</v>
      </c>
      <c r="H70" s="9">
        <f t="shared" si="3"/>
        <v>175315.10361033969</v>
      </c>
      <c r="I70" s="9">
        <f t="shared" si="2"/>
        <v>-254558.85494552445</v>
      </c>
    </row>
    <row r="71" spans="3:9" x14ac:dyDescent="0.35">
      <c r="C71">
        <v>12169.072542497024</v>
      </c>
      <c r="D71" s="9">
        <f t="shared" si="0"/>
        <v>300000</v>
      </c>
      <c r="E71" s="9">
        <f t="shared" si="1"/>
        <v>351835.07797479164</v>
      </c>
      <c r="G71">
        <v>3203.8636432996614</v>
      </c>
      <c r="H71" s="9">
        <f t="shared" si="3"/>
        <v>160193.18216498307</v>
      </c>
      <c r="I71" s="9">
        <f t="shared" si="2"/>
        <v>-275729.54496902367</v>
      </c>
    </row>
    <row r="72" spans="3:9" x14ac:dyDescent="0.35">
      <c r="C72">
        <v>15015.533921323282</v>
      </c>
      <c r="D72" s="9">
        <f t="shared" si="0"/>
        <v>300000</v>
      </c>
      <c r="E72" s="9">
        <f t="shared" si="1"/>
        <v>550000</v>
      </c>
      <c r="G72">
        <v>7380.1690725424969</v>
      </c>
      <c r="H72" s="9">
        <f t="shared" si="3"/>
        <v>300000</v>
      </c>
      <c r="I72" s="9">
        <f t="shared" si="2"/>
        <v>16611.835077974771</v>
      </c>
    </row>
    <row r="73" spans="3:9" x14ac:dyDescent="0.35">
      <c r="C73">
        <v>15975.951414532914</v>
      </c>
      <c r="D73" s="9">
        <f t="shared" si="0"/>
        <v>300000</v>
      </c>
      <c r="E73" s="9">
        <f t="shared" si="1"/>
        <v>550000</v>
      </c>
      <c r="G73">
        <v>5902.7680288094725</v>
      </c>
      <c r="H73" s="9">
        <f t="shared" si="3"/>
        <v>295138.40144047362</v>
      </c>
      <c r="I73" s="9">
        <f t="shared" si="2"/>
        <v>-86806.237983336905</v>
      </c>
    </row>
    <row r="74" spans="3:9" x14ac:dyDescent="0.35">
      <c r="C74">
        <v>14233.191930906094</v>
      </c>
      <c r="D74" s="9">
        <f t="shared" si="0"/>
        <v>300000</v>
      </c>
      <c r="E74" s="9">
        <f t="shared" si="1"/>
        <v>496323.43516342656</v>
      </c>
      <c r="G74">
        <v>7110.0802636799217</v>
      </c>
      <c r="H74" s="9">
        <f t="shared" si="3"/>
        <v>300000</v>
      </c>
      <c r="I74" s="9">
        <f t="shared" si="2"/>
        <v>-2294.3815424054628</v>
      </c>
    </row>
    <row r="75" spans="3:9" x14ac:dyDescent="0.35">
      <c r="C75">
        <v>14636.494033631398</v>
      </c>
      <c r="D75" s="9">
        <f t="shared" si="0"/>
        <v>300000</v>
      </c>
      <c r="E75" s="9">
        <f t="shared" si="1"/>
        <v>524554.58235419786</v>
      </c>
      <c r="G75">
        <v>5874.6910000915559</v>
      </c>
      <c r="H75" s="9">
        <f t="shared" si="3"/>
        <v>293734.55000457779</v>
      </c>
      <c r="I75" s="9">
        <f t="shared" si="2"/>
        <v>-88771.629993591108</v>
      </c>
    </row>
    <row r="76" spans="3:9" x14ac:dyDescent="0.35">
      <c r="C76">
        <v>14626.728110599079</v>
      </c>
      <c r="D76" s="9">
        <f t="shared" ref="D76:D139" si="4">50*MIN(C76,6000)</f>
        <v>300000</v>
      </c>
      <c r="E76" s="9">
        <f t="shared" ref="E76:E139" si="5">70*MIN(C76,15000)-500000</f>
        <v>523870.96774193551</v>
      </c>
      <c r="G76">
        <v>6784.1425824762719</v>
      </c>
      <c r="H76" s="9">
        <f t="shared" si="3"/>
        <v>300000</v>
      </c>
      <c r="I76" s="9">
        <f t="shared" ref="I76:I139" si="6">70*MIN(G76,15000)-500000</f>
        <v>-25110.019226660952</v>
      </c>
    </row>
    <row r="77" spans="3:9" x14ac:dyDescent="0.35">
      <c r="C77">
        <v>13377.910702841273</v>
      </c>
      <c r="D77" s="9">
        <f t="shared" si="4"/>
        <v>300000</v>
      </c>
      <c r="E77" s="9">
        <f t="shared" si="5"/>
        <v>436453.74919888913</v>
      </c>
      <c r="G77">
        <v>6857.3870052186649</v>
      </c>
      <c r="H77" s="9">
        <f t="shared" ref="H77:H140" si="7">50*MIN(G77,6000)</f>
        <v>300000</v>
      </c>
      <c r="I77" s="9">
        <f t="shared" si="6"/>
        <v>-19982.909634693468</v>
      </c>
    </row>
    <row r="78" spans="3:9" x14ac:dyDescent="0.35">
      <c r="C78">
        <v>16493.392742698445</v>
      </c>
      <c r="D78" s="9">
        <f t="shared" si="4"/>
        <v>300000</v>
      </c>
      <c r="E78" s="9">
        <f t="shared" si="5"/>
        <v>550000</v>
      </c>
      <c r="G78">
        <v>7497.8179265724657</v>
      </c>
      <c r="H78" s="9">
        <f t="shared" si="7"/>
        <v>300000</v>
      </c>
      <c r="I78" s="9">
        <f t="shared" si="6"/>
        <v>24847.25486007263</v>
      </c>
    </row>
    <row r="79" spans="3:9" x14ac:dyDescent="0.35">
      <c r="C79">
        <v>14935.88061159093</v>
      </c>
      <c r="D79" s="9">
        <f t="shared" si="4"/>
        <v>300000</v>
      </c>
      <c r="E79" s="9">
        <f t="shared" si="5"/>
        <v>545511.64281136508</v>
      </c>
      <c r="G79">
        <v>7701.6815698721275</v>
      </c>
      <c r="H79" s="9">
        <f t="shared" si="7"/>
        <v>300000</v>
      </c>
      <c r="I79" s="9">
        <f t="shared" si="6"/>
        <v>39117.709891048959</v>
      </c>
    </row>
    <row r="80" spans="3:9" x14ac:dyDescent="0.35">
      <c r="C80">
        <v>16054.078798791466</v>
      </c>
      <c r="D80" s="9">
        <f t="shared" si="4"/>
        <v>300000</v>
      </c>
      <c r="E80" s="9">
        <f t="shared" si="5"/>
        <v>550000</v>
      </c>
      <c r="G80">
        <v>4101.4130069887387</v>
      </c>
      <c r="H80" s="9">
        <f t="shared" si="7"/>
        <v>205070.65034943694</v>
      </c>
      <c r="I80" s="9">
        <f t="shared" si="6"/>
        <v>-212901.08951078827</v>
      </c>
    </row>
    <row r="81" spans="3:9" x14ac:dyDescent="0.35">
      <c r="C81">
        <v>16427.014984588153</v>
      </c>
      <c r="D81" s="9">
        <f t="shared" si="4"/>
        <v>300000</v>
      </c>
      <c r="E81" s="9">
        <f t="shared" si="5"/>
        <v>550000</v>
      </c>
      <c r="G81">
        <v>6208.7160863063446</v>
      </c>
      <c r="H81" s="9">
        <f t="shared" si="7"/>
        <v>300000</v>
      </c>
      <c r="I81" s="9">
        <f t="shared" si="6"/>
        <v>-65389.873958555865</v>
      </c>
    </row>
    <row r="82" spans="3:9" x14ac:dyDescent="0.35">
      <c r="C82">
        <v>12433.057649464401</v>
      </c>
      <c r="D82" s="9">
        <f t="shared" si="4"/>
        <v>300000</v>
      </c>
      <c r="E82" s="9">
        <f t="shared" si="5"/>
        <v>370314.03546250809</v>
      </c>
      <c r="G82">
        <v>6442.1826837977233</v>
      </c>
      <c r="H82" s="9">
        <f t="shared" si="7"/>
        <v>300000</v>
      </c>
      <c r="I82" s="9">
        <f t="shared" si="6"/>
        <v>-49047.212134159345</v>
      </c>
    </row>
    <row r="83" spans="3:9" x14ac:dyDescent="0.35">
      <c r="C83">
        <v>15614.764854884488</v>
      </c>
      <c r="D83" s="9">
        <f t="shared" si="4"/>
        <v>300000</v>
      </c>
      <c r="E83" s="9">
        <f t="shared" si="5"/>
        <v>550000</v>
      </c>
      <c r="G83">
        <v>7148.0758079775378</v>
      </c>
      <c r="H83" s="9">
        <f t="shared" si="7"/>
        <v>300000</v>
      </c>
      <c r="I83" s="9">
        <f t="shared" si="6"/>
        <v>365.30655842763372</v>
      </c>
    </row>
    <row r="84" spans="3:9" x14ac:dyDescent="0.35">
      <c r="C84">
        <v>12242.622150334179</v>
      </c>
      <c r="D84" s="9">
        <f t="shared" si="4"/>
        <v>300000</v>
      </c>
      <c r="E84" s="9">
        <f t="shared" si="5"/>
        <v>356983.55052339251</v>
      </c>
      <c r="G84">
        <v>5096.3164159062471</v>
      </c>
      <c r="H84" s="9">
        <f t="shared" si="7"/>
        <v>254815.82079531235</v>
      </c>
      <c r="I84" s="9">
        <f t="shared" si="6"/>
        <v>-143257.85088656272</v>
      </c>
    </row>
    <row r="85" spans="3:9" x14ac:dyDescent="0.35">
      <c r="C85">
        <v>12021.973326822717</v>
      </c>
      <c r="D85" s="9">
        <f t="shared" si="4"/>
        <v>300000</v>
      </c>
      <c r="E85" s="9">
        <f t="shared" si="5"/>
        <v>341538.13287759025</v>
      </c>
      <c r="G85">
        <v>5699.3621631519509</v>
      </c>
      <c r="H85" s="9">
        <f t="shared" si="7"/>
        <v>284968.10815759754</v>
      </c>
      <c r="I85" s="9">
        <f t="shared" si="6"/>
        <v>-101044.64857936342</v>
      </c>
    </row>
    <row r="86" spans="3:9" x14ac:dyDescent="0.35">
      <c r="C86">
        <v>16651.326029236734</v>
      </c>
      <c r="D86" s="9">
        <f t="shared" si="4"/>
        <v>300000</v>
      </c>
      <c r="E86" s="9">
        <f t="shared" si="5"/>
        <v>550000</v>
      </c>
      <c r="G86">
        <v>4109.0426343577383</v>
      </c>
      <c r="H86" s="9">
        <f t="shared" si="7"/>
        <v>205452.13171788692</v>
      </c>
      <c r="I86" s="9">
        <f t="shared" si="6"/>
        <v>-212367.01559495833</v>
      </c>
    </row>
    <row r="87" spans="3:9" x14ac:dyDescent="0.35">
      <c r="C87">
        <v>14491.225928525651</v>
      </c>
      <c r="D87" s="9">
        <f t="shared" si="4"/>
        <v>300000</v>
      </c>
      <c r="E87" s="9">
        <f t="shared" si="5"/>
        <v>514385.81499679561</v>
      </c>
      <c r="G87">
        <v>5037.7208777123324</v>
      </c>
      <c r="H87" s="9">
        <f t="shared" si="7"/>
        <v>251886.04388561661</v>
      </c>
      <c r="I87" s="9">
        <f t="shared" si="6"/>
        <v>-147359.53856013675</v>
      </c>
    </row>
    <row r="88" spans="3:9" x14ac:dyDescent="0.35">
      <c r="C88">
        <v>12398.266548661762</v>
      </c>
      <c r="D88" s="9">
        <f t="shared" si="4"/>
        <v>300000</v>
      </c>
      <c r="E88" s="9">
        <f t="shared" si="5"/>
        <v>367878.6584063234</v>
      </c>
      <c r="G88">
        <v>5835.7799005096585</v>
      </c>
      <c r="H88" s="9">
        <f t="shared" si="7"/>
        <v>291788.9950254829</v>
      </c>
      <c r="I88" s="9">
        <f t="shared" si="6"/>
        <v>-91495.406964323891</v>
      </c>
    </row>
    <row r="89" spans="3:9" x14ac:dyDescent="0.35">
      <c r="C89">
        <v>12069.887386700033</v>
      </c>
      <c r="D89" s="9">
        <f t="shared" si="4"/>
        <v>300000</v>
      </c>
      <c r="E89" s="9">
        <f t="shared" si="5"/>
        <v>344892.11706900236</v>
      </c>
      <c r="G89">
        <v>4015.6559953611868</v>
      </c>
      <c r="H89" s="9">
        <f t="shared" si="7"/>
        <v>200782.79976805934</v>
      </c>
      <c r="I89" s="9">
        <f t="shared" si="6"/>
        <v>-218904.08032471692</v>
      </c>
    </row>
    <row r="90" spans="3:9" x14ac:dyDescent="0.35">
      <c r="C90">
        <v>12355.693227942747</v>
      </c>
      <c r="D90" s="9">
        <f t="shared" si="4"/>
        <v>300000</v>
      </c>
      <c r="E90" s="9">
        <f t="shared" si="5"/>
        <v>364898.52595599229</v>
      </c>
      <c r="G90">
        <v>6277.077547532579</v>
      </c>
      <c r="H90" s="9">
        <f t="shared" si="7"/>
        <v>300000</v>
      </c>
      <c r="I90" s="9">
        <f t="shared" si="6"/>
        <v>-60604.571672719438</v>
      </c>
    </row>
    <row r="91" spans="3:9" x14ac:dyDescent="0.35">
      <c r="C91">
        <v>12655.99536118656</v>
      </c>
      <c r="D91" s="9">
        <f t="shared" si="4"/>
        <v>300000</v>
      </c>
      <c r="E91" s="9">
        <f t="shared" si="5"/>
        <v>385919.67528305924</v>
      </c>
      <c r="G91">
        <v>6019.8065126499223</v>
      </c>
      <c r="H91" s="9">
        <f t="shared" si="7"/>
        <v>300000</v>
      </c>
      <c r="I91" s="9">
        <f t="shared" si="6"/>
        <v>-78613.544114505465</v>
      </c>
    </row>
    <row r="92" spans="3:9" x14ac:dyDescent="0.35">
      <c r="C92">
        <v>13601.611377300333</v>
      </c>
      <c r="D92" s="9">
        <f t="shared" si="4"/>
        <v>300000</v>
      </c>
      <c r="E92" s="9">
        <f t="shared" si="5"/>
        <v>452112.79641102324</v>
      </c>
      <c r="G92">
        <v>3917.3863948484754</v>
      </c>
      <c r="H92" s="9">
        <f t="shared" si="7"/>
        <v>195869.31974242377</v>
      </c>
      <c r="I92" s="9">
        <f t="shared" si="6"/>
        <v>-225782.95236060669</v>
      </c>
    </row>
    <row r="93" spans="3:9" x14ac:dyDescent="0.35">
      <c r="C93">
        <v>16766.838587603383</v>
      </c>
      <c r="D93" s="9">
        <f t="shared" si="4"/>
        <v>300000</v>
      </c>
      <c r="E93" s="9">
        <f t="shared" si="5"/>
        <v>550000</v>
      </c>
      <c r="G93">
        <v>6227.7901547288429</v>
      </c>
      <c r="H93" s="9">
        <f t="shared" si="7"/>
        <v>300000</v>
      </c>
      <c r="I93" s="9">
        <f t="shared" si="6"/>
        <v>-64054.689168980985</v>
      </c>
    </row>
    <row r="94" spans="3:9" x14ac:dyDescent="0.35">
      <c r="C94">
        <v>12143.436994537187</v>
      </c>
      <c r="D94" s="9">
        <f t="shared" si="4"/>
        <v>300000</v>
      </c>
      <c r="E94" s="9">
        <f t="shared" si="5"/>
        <v>350040.58961760311</v>
      </c>
      <c r="G94">
        <v>6645.4359569078642</v>
      </c>
      <c r="H94" s="9">
        <f t="shared" si="7"/>
        <v>300000</v>
      </c>
      <c r="I94" s="9">
        <f t="shared" si="6"/>
        <v>-34819.483016449492</v>
      </c>
    </row>
    <row r="95" spans="3:9" x14ac:dyDescent="0.35">
      <c r="C95">
        <v>15260.75014496292</v>
      </c>
      <c r="D95" s="9">
        <f t="shared" si="4"/>
        <v>300000</v>
      </c>
      <c r="E95" s="9">
        <f t="shared" si="5"/>
        <v>550000</v>
      </c>
      <c r="G95">
        <v>4770.531327249977</v>
      </c>
      <c r="H95" s="9">
        <f t="shared" si="7"/>
        <v>238526.56636249885</v>
      </c>
      <c r="I95" s="9">
        <f t="shared" si="6"/>
        <v>-166062.80709250161</v>
      </c>
    </row>
    <row r="96" spans="3:9" x14ac:dyDescent="0.35">
      <c r="C96">
        <v>14072.511978514969</v>
      </c>
      <c r="D96" s="9">
        <f t="shared" si="4"/>
        <v>300000</v>
      </c>
      <c r="E96" s="9">
        <f t="shared" si="5"/>
        <v>485075.83849604789</v>
      </c>
      <c r="G96">
        <v>5490.4629657887508</v>
      </c>
      <c r="H96" s="9">
        <f t="shared" si="7"/>
        <v>274523.14828943752</v>
      </c>
      <c r="I96" s="9">
        <f t="shared" si="6"/>
        <v>-115667.59239478747</v>
      </c>
    </row>
    <row r="97" spans="3:9" x14ac:dyDescent="0.35">
      <c r="C97">
        <v>12929.593798638874</v>
      </c>
      <c r="D97" s="9">
        <f t="shared" si="4"/>
        <v>300000</v>
      </c>
      <c r="E97" s="9">
        <f t="shared" si="5"/>
        <v>405071.56590472115</v>
      </c>
      <c r="G97">
        <v>5854.5487838373974</v>
      </c>
      <c r="H97" s="9">
        <f t="shared" si="7"/>
        <v>292727.43919186987</v>
      </c>
      <c r="I97" s="9">
        <f t="shared" si="6"/>
        <v>-90181.585131382162</v>
      </c>
    </row>
    <row r="98" spans="3:9" x14ac:dyDescent="0.35">
      <c r="C98">
        <v>13633.045442060609</v>
      </c>
      <c r="D98" s="9">
        <f t="shared" si="4"/>
        <v>300000</v>
      </c>
      <c r="E98" s="9">
        <f t="shared" si="5"/>
        <v>454313.18094424263</v>
      </c>
      <c r="G98">
        <v>6260.5975524155401</v>
      </c>
      <c r="H98" s="9">
        <f t="shared" si="7"/>
        <v>300000</v>
      </c>
      <c r="I98" s="9">
        <f t="shared" si="6"/>
        <v>-61758.171330912213</v>
      </c>
    </row>
    <row r="99" spans="3:9" x14ac:dyDescent="0.35">
      <c r="C99">
        <v>12743.278298287911</v>
      </c>
      <c r="D99" s="9">
        <f t="shared" si="4"/>
        <v>300000</v>
      </c>
      <c r="E99" s="9">
        <f t="shared" si="5"/>
        <v>392029.48088015371</v>
      </c>
      <c r="G99">
        <v>5838.5265663624987</v>
      </c>
      <c r="H99" s="9">
        <f t="shared" si="7"/>
        <v>291926.32831812493</v>
      </c>
      <c r="I99" s="9">
        <f t="shared" si="6"/>
        <v>-91303.140354625066</v>
      </c>
    </row>
    <row r="100" spans="3:9" x14ac:dyDescent="0.35">
      <c r="C100">
        <v>15117.313150425733</v>
      </c>
      <c r="D100" s="9">
        <f t="shared" si="4"/>
        <v>300000</v>
      </c>
      <c r="E100" s="9">
        <f t="shared" si="5"/>
        <v>550000</v>
      </c>
      <c r="G100">
        <v>6346.0493789483317</v>
      </c>
      <c r="H100" s="9">
        <f t="shared" si="7"/>
        <v>300000</v>
      </c>
      <c r="I100" s="9">
        <f t="shared" si="6"/>
        <v>-55776.543473616766</v>
      </c>
    </row>
    <row r="101" spans="3:9" x14ac:dyDescent="0.35">
      <c r="C101">
        <v>16281.289101840266</v>
      </c>
      <c r="D101" s="9">
        <f t="shared" si="4"/>
        <v>300000</v>
      </c>
      <c r="E101" s="9">
        <f t="shared" si="5"/>
        <v>550000</v>
      </c>
      <c r="G101">
        <v>4713.9194921720027</v>
      </c>
      <c r="H101" s="9">
        <f t="shared" si="7"/>
        <v>235695.97460860014</v>
      </c>
      <c r="I101" s="9">
        <f t="shared" si="6"/>
        <v>-170025.63554795983</v>
      </c>
    </row>
    <row r="102" spans="3:9" x14ac:dyDescent="0.35">
      <c r="C102">
        <v>13232.337412640767</v>
      </c>
      <c r="D102" s="9">
        <f t="shared" si="4"/>
        <v>300000</v>
      </c>
      <c r="E102" s="9">
        <f t="shared" si="5"/>
        <v>426263.61888485367</v>
      </c>
      <c r="G102">
        <v>4593.8291573839533</v>
      </c>
      <c r="H102" s="9">
        <f t="shared" si="7"/>
        <v>229691.45786919768</v>
      </c>
      <c r="I102" s="9">
        <f t="shared" si="6"/>
        <v>-178431.95898312324</v>
      </c>
    </row>
    <row r="103" spans="3:9" x14ac:dyDescent="0.35">
      <c r="C103">
        <v>12649.739066743979</v>
      </c>
      <c r="D103" s="9">
        <f t="shared" si="4"/>
        <v>300000</v>
      </c>
      <c r="E103" s="9">
        <f t="shared" si="5"/>
        <v>385481.73467207851</v>
      </c>
      <c r="G103">
        <v>3536.3628040406506</v>
      </c>
      <c r="H103" s="9">
        <f t="shared" si="7"/>
        <v>176818.14020203252</v>
      </c>
      <c r="I103" s="9">
        <f t="shared" si="6"/>
        <v>-252454.60371715444</v>
      </c>
    </row>
    <row r="104" spans="3:9" x14ac:dyDescent="0.35">
      <c r="C104">
        <v>16287.240211188086</v>
      </c>
      <c r="D104" s="9">
        <f t="shared" si="4"/>
        <v>300000</v>
      </c>
      <c r="E104" s="9">
        <f t="shared" si="5"/>
        <v>550000</v>
      </c>
      <c r="G104">
        <v>7863.8874477370528</v>
      </c>
      <c r="H104" s="9">
        <f t="shared" si="7"/>
        <v>300000</v>
      </c>
      <c r="I104" s="9">
        <f t="shared" si="6"/>
        <v>50472.12134159368</v>
      </c>
    </row>
    <row r="105" spans="3:9" x14ac:dyDescent="0.35">
      <c r="C105">
        <v>14097.689748832667</v>
      </c>
      <c r="D105" s="9">
        <f t="shared" si="4"/>
        <v>300000</v>
      </c>
      <c r="E105" s="9">
        <f t="shared" si="5"/>
        <v>486838.28241828666</v>
      </c>
      <c r="G105">
        <v>3210.5777153843806</v>
      </c>
      <c r="H105" s="9">
        <f t="shared" si="7"/>
        <v>160528.88576921902</v>
      </c>
      <c r="I105" s="9">
        <f t="shared" si="6"/>
        <v>-275259.55992309336</v>
      </c>
    </row>
    <row r="106" spans="3:9" x14ac:dyDescent="0.35">
      <c r="C106">
        <v>13822.260200811792</v>
      </c>
      <c r="D106" s="9">
        <f t="shared" si="4"/>
        <v>300000</v>
      </c>
      <c r="E106" s="9">
        <f t="shared" si="5"/>
        <v>467558.21405682538</v>
      </c>
      <c r="G106">
        <v>4300.0885036774798</v>
      </c>
      <c r="H106" s="9">
        <f t="shared" si="7"/>
        <v>215004.425183874</v>
      </c>
      <c r="I106" s="9">
        <f t="shared" si="6"/>
        <v>-198993.80474257644</v>
      </c>
    </row>
    <row r="107" spans="3:9" x14ac:dyDescent="0.35">
      <c r="C107">
        <v>14708.67030854213</v>
      </c>
      <c r="D107" s="9">
        <f t="shared" si="4"/>
        <v>300000</v>
      </c>
      <c r="E107" s="9">
        <f t="shared" si="5"/>
        <v>529606.92159794911</v>
      </c>
      <c r="G107">
        <v>5790.9176915799435</v>
      </c>
      <c r="H107" s="9">
        <f t="shared" si="7"/>
        <v>289545.88457899715</v>
      </c>
      <c r="I107" s="9">
        <f t="shared" si="6"/>
        <v>-94635.761589403963</v>
      </c>
    </row>
    <row r="108" spans="3:9" x14ac:dyDescent="0.35">
      <c r="C108">
        <v>15782.311471907713</v>
      </c>
      <c r="D108" s="9">
        <f t="shared" si="4"/>
        <v>300000</v>
      </c>
      <c r="E108" s="9">
        <f t="shared" si="5"/>
        <v>550000</v>
      </c>
      <c r="G108">
        <v>6091.3724173711353</v>
      </c>
      <c r="H108" s="9">
        <f t="shared" si="7"/>
        <v>300000</v>
      </c>
      <c r="I108" s="9">
        <f t="shared" si="6"/>
        <v>-73603.930784020515</v>
      </c>
    </row>
    <row r="109" spans="3:9" x14ac:dyDescent="0.35">
      <c r="C109">
        <v>12122.989593188269</v>
      </c>
      <c r="D109" s="9">
        <f t="shared" si="4"/>
        <v>300000</v>
      </c>
      <c r="E109" s="9">
        <f t="shared" si="5"/>
        <v>348609.2715231789</v>
      </c>
      <c r="G109">
        <v>6221.2286751915035</v>
      </c>
      <c r="H109" s="9">
        <f t="shared" si="7"/>
        <v>300000</v>
      </c>
      <c r="I109" s="9">
        <f t="shared" si="6"/>
        <v>-64513.992736594751</v>
      </c>
    </row>
    <row r="110" spans="3:9" x14ac:dyDescent="0.35">
      <c r="C110">
        <v>14638.325144199956</v>
      </c>
      <c r="D110" s="9">
        <f t="shared" si="4"/>
        <v>300000</v>
      </c>
      <c r="E110" s="9">
        <f t="shared" si="5"/>
        <v>524682.760093997</v>
      </c>
      <c r="G110">
        <v>4189.9166844691308</v>
      </c>
      <c r="H110" s="9">
        <f t="shared" si="7"/>
        <v>209495.83422345654</v>
      </c>
      <c r="I110" s="9">
        <f t="shared" si="6"/>
        <v>-206705.83208716084</v>
      </c>
    </row>
    <row r="111" spans="3:9" x14ac:dyDescent="0.35">
      <c r="C111">
        <v>14312.540055543686</v>
      </c>
      <c r="D111" s="9">
        <f t="shared" si="4"/>
        <v>300000</v>
      </c>
      <c r="E111" s="9">
        <f t="shared" si="5"/>
        <v>501877.80388805806</v>
      </c>
      <c r="G111">
        <v>3350.6576738792078</v>
      </c>
      <c r="H111" s="9">
        <f t="shared" si="7"/>
        <v>167532.88369396038</v>
      </c>
      <c r="I111" s="9">
        <f t="shared" si="6"/>
        <v>-265453.96282845549</v>
      </c>
    </row>
    <row r="112" spans="3:9" x14ac:dyDescent="0.35">
      <c r="C112">
        <v>15630.024109622485</v>
      </c>
      <c r="D112" s="9">
        <f t="shared" si="4"/>
        <v>300000</v>
      </c>
      <c r="E112" s="9">
        <f t="shared" si="5"/>
        <v>550000</v>
      </c>
      <c r="G112">
        <v>4741.2335581530197</v>
      </c>
      <c r="H112" s="9">
        <f t="shared" si="7"/>
        <v>237061.67790765097</v>
      </c>
      <c r="I112" s="9">
        <f t="shared" si="6"/>
        <v>-168113.65092928865</v>
      </c>
    </row>
    <row r="113" spans="3:9" x14ac:dyDescent="0.35">
      <c r="C113">
        <v>12157.933286538286</v>
      </c>
      <c r="D113" s="9">
        <f t="shared" si="4"/>
        <v>300000</v>
      </c>
      <c r="E113" s="9">
        <f t="shared" si="5"/>
        <v>351055.33005768002</v>
      </c>
      <c r="G113">
        <v>7230.3231910153509</v>
      </c>
      <c r="H113" s="9">
        <f t="shared" si="7"/>
        <v>300000</v>
      </c>
      <c r="I113" s="9">
        <f t="shared" si="6"/>
        <v>6122.6233710745582</v>
      </c>
    </row>
    <row r="114" spans="3:9" x14ac:dyDescent="0.35">
      <c r="C114">
        <v>14128.818628498184</v>
      </c>
      <c r="D114" s="9">
        <f t="shared" si="4"/>
        <v>300000</v>
      </c>
      <c r="E114" s="9">
        <f t="shared" si="5"/>
        <v>489017.30399487284</v>
      </c>
      <c r="G114">
        <v>7445.1734977263714</v>
      </c>
      <c r="H114" s="9">
        <f t="shared" si="7"/>
        <v>300000</v>
      </c>
      <c r="I114" s="9">
        <f t="shared" si="6"/>
        <v>21162.144840846013</v>
      </c>
    </row>
    <row r="115" spans="3:9" x14ac:dyDescent="0.35">
      <c r="C115">
        <v>12064.851832636494</v>
      </c>
      <c r="D115" s="9">
        <f t="shared" si="4"/>
        <v>300000</v>
      </c>
      <c r="E115" s="9">
        <f t="shared" si="5"/>
        <v>344539.62828455458</v>
      </c>
      <c r="G115">
        <v>3264.9006622516554</v>
      </c>
      <c r="H115" s="9">
        <f t="shared" si="7"/>
        <v>163245.03311258278</v>
      </c>
      <c r="I115" s="9">
        <f t="shared" si="6"/>
        <v>-271456.95364238415</v>
      </c>
    </row>
    <row r="116" spans="3:9" x14ac:dyDescent="0.35">
      <c r="C116">
        <v>13671.193578905606</v>
      </c>
      <c r="D116" s="9">
        <f t="shared" si="4"/>
        <v>300000</v>
      </c>
      <c r="E116" s="9">
        <f t="shared" si="5"/>
        <v>456983.55052339239</v>
      </c>
      <c r="G116">
        <v>5383.9533677175205</v>
      </c>
      <c r="H116" s="9">
        <f t="shared" si="7"/>
        <v>269197.66838587599</v>
      </c>
      <c r="I116" s="9">
        <f t="shared" si="6"/>
        <v>-123123.26425977354</v>
      </c>
    </row>
    <row r="117" spans="3:9" x14ac:dyDescent="0.35">
      <c r="C117">
        <v>14227.698599200416</v>
      </c>
      <c r="D117" s="9">
        <f t="shared" si="4"/>
        <v>300000</v>
      </c>
      <c r="E117" s="9">
        <f t="shared" si="5"/>
        <v>495938.90194402914</v>
      </c>
      <c r="G117">
        <v>5874.5384075441752</v>
      </c>
      <c r="H117" s="9">
        <f t="shared" si="7"/>
        <v>293726.92037720873</v>
      </c>
      <c r="I117" s="9">
        <f t="shared" si="6"/>
        <v>-88782.311471907713</v>
      </c>
    </row>
    <row r="118" spans="3:9" x14ac:dyDescent="0.35">
      <c r="C118">
        <v>14075.869014557329</v>
      </c>
      <c r="D118" s="9">
        <f t="shared" si="4"/>
        <v>300000</v>
      </c>
      <c r="E118" s="9">
        <f t="shared" si="5"/>
        <v>485310.83101901307</v>
      </c>
      <c r="G118">
        <v>4609.8513748588521</v>
      </c>
      <c r="H118" s="9">
        <f t="shared" si="7"/>
        <v>230492.56874294259</v>
      </c>
      <c r="I118" s="9">
        <f t="shared" si="6"/>
        <v>-177310.40375988034</v>
      </c>
    </row>
    <row r="119" spans="3:9" x14ac:dyDescent="0.35">
      <c r="C119">
        <v>14546.922208319345</v>
      </c>
      <c r="D119" s="9">
        <f t="shared" si="4"/>
        <v>300000</v>
      </c>
      <c r="E119" s="9">
        <f t="shared" si="5"/>
        <v>518284.55458235415</v>
      </c>
      <c r="G119">
        <v>3033.5703604235969</v>
      </c>
      <c r="H119" s="9">
        <f t="shared" si="7"/>
        <v>151678.51802117983</v>
      </c>
      <c r="I119" s="9">
        <f t="shared" si="6"/>
        <v>-287650.0747703482</v>
      </c>
    </row>
    <row r="120" spans="3:9" x14ac:dyDescent="0.35">
      <c r="C120">
        <v>16883.11410870693</v>
      </c>
      <c r="D120" s="9">
        <f t="shared" si="4"/>
        <v>300000</v>
      </c>
      <c r="E120" s="9">
        <f t="shared" si="5"/>
        <v>550000</v>
      </c>
      <c r="G120">
        <v>5619.5562608722194</v>
      </c>
      <c r="H120" s="9">
        <f t="shared" si="7"/>
        <v>280977.81304361095</v>
      </c>
      <c r="I120" s="9">
        <f t="shared" si="6"/>
        <v>-106631.06173894467</v>
      </c>
    </row>
    <row r="121" spans="3:9" x14ac:dyDescent="0.35">
      <c r="C121">
        <v>14737.510299996948</v>
      </c>
      <c r="D121" s="9">
        <f t="shared" si="4"/>
        <v>300000</v>
      </c>
      <c r="E121" s="9">
        <f t="shared" si="5"/>
        <v>531625.72099978628</v>
      </c>
      <c r="G121">
        <v>6552.9648731955931</v>
      </c>
      <c r="H121" s="9">
        <f t="shared" si="7"/>
        <v>300000</v>
      </c>
      <c r="I121" s="9">
        <f t="shared" si="6"/>
        <v>-41292.458876308461</v>
      </c>
    </row>
    <row r="122" spans="3:9" x14ac:dyDescent="0.35">
      <c r="C122">
        <v>15753.929258095035</v>
      </c>
      <c r="D122" s="9">
        <f t="shared" si="4"/>
        <v>300000</v>
      </c>
      <c r="E122" s="9">
        <f t="shared" si="5"/>
        <v>550000</v>
      </c>
      <c r="G122">
        <v>3389.2635883663443</v>
      </c>
      <c r="H122" s="9">
        <f t="shared" si="7"/>
        <v>169463.17941831722</v>
      </c>
      <c r="I122" s="9">
        <f t="shared" si="6"/>
        <v>-262751.54881435586</v>
      </c>
    </row>
    <row r="123" spans="3:9" x14ac:dyDescent="0.35">
      <c r="C123">
        <v>13962.340159306619</v>
      </c>
      <c r="D123" s="9">
        <f t="shared" si="4"/>
        <v>300000</v>
      </c>
      <c r="E123" s="9">
        <f t="shared" si="5"/>
        <v>477363.81115146331</v>
      </c>
      <c r="G123">
        <v>4338.3892330698563</v>
      </c>
      <c r="H123" s="9">
        <f t="shared" si="7"/>
        <v>216919.46165349282</v>
      </c>
      <c r="I123" s="9">
        <f t="shared" si="6"/>
        <v>-196312.75368511007</v>
      </c>
    </row>
    <row r="124" spans="3:9" x14ac:dyDescent="0.35">
      <c r="C124">
        <v>13071.047090060121</v>
      </c>
      <c r="D124" s="9">
        <f t="shared" si="4"/>
        <v>300000</v>
      </c>
      <c r="E124" s="9">
        <f t="shared" si="5"/>
        <v>414973.29630420846</v>
      </c>
      <c r="G124">
        <v>3510.2694784386731</v>
      </c>
      <c r="H124" s="9">
        <f t="shared" si="7"/>
        <v>175513.47392193365</v>
      </c>
      <c r="I124" s="9">
        <f t="shared" si="6"/>
        <v>-254281.13650929288</v>
      </c>
    </row>
    <row r="125" spans="3:9" x14ac:dyDescent="0.35">
      <c r="C125">
        <v>14520.218512527848</v>
      </c>
      <c r="D125" s="9">
        <f t="shared" si="4"/>
        <v>300000</v>
      </c>
      <c r="E125" s="9">
        <f t="shared" si="5"/>
        <v>516415.29587694933</v>
      </c>
      <c r="G125">
        <v>3255.1347392193366</v>
      </c>
      <c r="H125" s="9">
        <f t="shared" si="7"/>
        <v>162756.73696096684</v>
      </c>
      <c r="I125" s="9">
        <f t="shared" si="6"/>
        <v>-272140.56825464644</v>
      </c>
    </row>
    <row r="126" spans="3:9" x14ac:dyDescent="0.35">
      <c r="C126">
        <v>16413.586840418713</v>
      </c>
      <c r="D126" s="9">
        <f t="shared" si="4"/>
        <v>300000</v>
      </c>
      <c r="E126" s="9">
        <f t="shared" si="5"/>
        <v>550000</v>
      </c>
      <c r="G126">
        <v>4785.4853968932157</v>
      </c>
      <c r="H126" s="9">
        <f t="shared" si="7"/>
        <v>239274.2698446608</v>
      </c>
      <c r="I126" s="9">
        <f t="shared" si="6"/>
        <v>-165016.02221747488</v>
      </c>
    </row>
    <row r="127" spans="3:9" x14ac:dyDescent="0.35">
      <c r="C127">
        <v>16814.294869838559</v>
      </c>
      <c r="D127" s="9">
        <f t="shared" si="4"/>
        <v>300000</v>
      </c>
      <c r="E127" s="9">
        <f t="shared" si="5"/>
        <v>550000</v>
      </c>
      <c r="G127">
        <v>7761.040070802942</v>
      </c>
      <c r="H127" s="9">
        <f t="shared" si="7"/>
        <v>300000</v>
      </c>
      <c r="I127" s="9">
        <f t="shared" si="6"/>
        <v>43272.804956205888</v>
      </c>
    </row>
    <row r="128" spans="3:9" x14ac:dyDescent="0.35">
      <c r="C128">
        <v>15463.393047883541</v>
      </c>
      <c r="D128" s="9">
        <f t="shared" si="4"/>
        <v>300000</v>
      </c>
      <c r="E128" s="9">
        <f t="shared" si="5"/>
        <v>550000</v>
      </c>
      <c r="G128">
        <v>4053.041169469283</v>
      </c>
      <c r="H128" s="9">
        <f t="shared" si="7"/>
        <v>202652.05847346416</v>
      </c>
      <c r="I128" s="9">
        <f t="shared" si="6"/>
        <v>-216287.11813715019</v>
      </c>
    </row>
    <row r="129" spans="3:9" x14ac:dyDescent="0.35">
      <c r="C129">
        <v>13182.134464552752</v>
      </c>
      <c r="D129" s="9">
        <f t="shared" si="4"/>
        <v>300000</v>
      </c>
      <c r="E129" s="9">
        <f t="shared" si="5"/>
        <v>422749.41251869255</v>
      </c>
      <c r="G129">
        <v>3268.8680684835354</v>
      </c>
      <c r="H129" s="9">
        <f t="shared" si="7"/>
        <v>163443.40342417677</v>
      </c>
      <c r="I129" s="9">
        <f t="shared" si="6"/>
        <v>-271179.23520615255</v>
      </c>
    </row>
    <row r="130" spans="3:9" x14ac:dyDescent="0.35">
      <c r="C130">
        <v>16866.939298684651</v>
      </c>
      <c r="D130" s="9">
        <f t="shared" si="4"/>
        <v>300000</v>
      </c>
      <c r="E130" s="9">
        <f t="shared" si="5"/>
        <v>550000</v>
      </c>
      <c r="G130">
        <v>7601.4282662434771</v>
      </c>
      <c r="H130" s="9">
        <f t="shared" si="7"/>
        <v>300000</v>
      </c>
      <c r="I130" s="9">
        <f t="shared" si="6"/>
        <v>32099.978637043387</v>
      </c>
    </row>
    <row r="131" spans="3:9" x14ac:dyDescent="0.35">
      <c r="C131">
        <v>14271.79784539323</v>
      </c>
      <c r="D131" s="9">
        <f t="shared" si="4"/>
        <v>300000</v>
      </c>
      <c r="E131" s="9">
        <f t="shared" si="5"/>
        <v>499025.84917752608</v>
      </c>
      <c r="G131">
        <v>7391.7661061433764</v>
      </c>
      <c r="H131" s="9">
        <f t="shared" si="7"/>
        <v>300000</v>
      </c>
      <c r="I131" s="9">
        <f t="shared" si="6"/>
        <v>17423.627430036373</v>
      </c>
    </row>
    <row r="132" spans="3:9" x14ac:dyDescent="0.35">
      <c r="C132">
        <v>12233.771782586138</v>
      </c>
      <c r="D132" s="9">
        <f t="shared" si="4"/>
        <v>300000</v>
      </c>
      <c r="E132" s="9">
        <f t="shared" si="5"/>
        <v>356364.02478102967</v>
      </c>
      <c r="G132">
        <v>5974.0287484359269</v>
      </c>
      <c r="H132" s="9">
        <f t="shared" si="7"/>
        <v>298701.43742179632</v>
      </c>
      <c r="I132" s="9">
        <f t="shared" si="6"/>
        <v>-81817.987609485106</v>
      </c>
    </row>
    <row r="133" spans="3:9" x14ac:dyDescent="0.35">
      <c r="C133">
        <v>13654.713583788567</v>
      </c>
      <c r="D133" s="9">
        <f t="shared" si="4"/>
        <v>300000</v>
      </c>
      <c r="E133" s="9">
        <f t="shared" si="5"/>
        <v>455829.95086519967</v>
      </c>
      <c r="G133">
        <v>4919.9194311349838</v>
      </c>
      <c r="H133" s="9">
        <f t="shared" si="7"/>
        <v>245995.97155674919</v>
      </c>
      <c r="I133" s="9">
        <f t="shared" si="6"/>
        <v>-155605.63982055115</v>
      </c>
    </row>
    <row r="134" spans="3:9" x14ac:dyDescent="0.35">
      <c r="C134">
        <v>13458.632160405286</v>
      </c>
      <c r="D134" s="9">
        <f t="shared" si="4"/>
        <v>300000</v>
      </c>
      <c r="E134" s="9">
        <f t="shared" si="5"/>
        <v>442104.25122837001</v>
      </c>
      <c r="G134">
        <v>5847.3769341105381</v>
      </c>
      <c r="H134" s="9">
        <f t="shared" si="7"/>
        <v>292368.84670552693</v>
      </c>
      <c r="I134" s="9">
        <f t="shared" si="6"/>
        <v>-90683.614612262347</v>
      </c>
    </row>
    <row r="135" spans="3:9" x14ac:dyDescent="0.35">
      <c r="C135">
        <v>14383.190404980622</v>
      </c>
      <c r="D135" s="9">
        <f t="shared" si="4"/>
        <v>300000</v>
      </c>
      <c r="E135" s="9">
        <f t="shared" si="5"/>
        <v>506823.3283486435</v>
      </c>
      <c r="G135">
        <v>6739.8907437360758</v>
      </c>
      <c r="H135" s="9">
        <f t="shared" si="7"/>
        <v>300000</v>
      </c>
      <c r="I135" s="9">
        <f t="shared" si="6"/>
        <v>-28207.647938474664</v>
      </c>
    </row>
    <row r="136" spans="3:9" x14ac:dyDescent="0.35">
      <c r="C136">
        <v>15490.24933622242</v>
      </c>
      <c r="D136" s="9">
        <f t="shared" si="4"/>
        <v>300000</v>
      </c>
      <c r="E136" s="9">
        <f t="shared" si="5"/>
        <v>550000</v>
      </c>
      <c r="G136">
        <v>4627.3995178075502</v>
      </c>
      <c r="H136" s="9">
        <f t="shared" si="7"/>
        <v>231369.97589037751</v>
      </c>
      <c r="I136" s="9">
        <f t="shared" si="6"/>
        <v>-176082.03375347151</v>
      </c>
    </row>
    <row r="137" spans="3:9" x14ac:dyDescent="0.35">
      <c r="C137">
        <v>13357.158116397595</v>
      </c>
      <c r="D137" s="9">
        <f t="shared" si="4"/>
        <v>300000</v>
      </c>
      <c r="E137" s="9">
        <f t="shared" si="5"/>
        <v>435001.06814783171</v>
      </c>
      <c r="G137">
        <v>7000.6714072084724</v>
      </c>
      <c r="H137" s="9">
        <f t="shared" si="7"/>
        <v>300000</v>
      </c>
      <c r="I137" s="9">
        <f t="shared" si="6"/>
        <v>-9953.0014954069629</v>
      </c>
    </row>
    <row r="138" spans="3:9" x14ac:dyDescent="0.35">
      <c r="C138">
        <v>15203.222754600665</v>
      </c>
      <c r="D138" s="9">
        <f t="shared" si="4"/>
        <v>300000</v>
      </c>
      <c r="E138" s="9">
        <f t="shared" si="5"/>
        <v>550000</v>
      </c>
      <c r="G138">
        <v>6077.333903012177</v>
      </c>
      <c r="H138" s="9">
        <f t="shared" si="7"/>
        <v>300000</v>
      </c>
      <c r="I138" s="9">
        <f t="shared" si="6"/>
        <v>-74586.626789147616</v>
      </c>
    </row>
    <row r="139" spans="3:9" x14ac:dyDescent="0.35">
      <c r="C139">
        <v>13790.063173314615</v>
      </c>
      <c r="D139" s="9">
        <f t="shared" si="4"/>
        <v>300000</v>
      </c>
      <c r="E139" s="9">
        <f t="shared" si="5"/>
        <v>465304.42213202303</v>
      </c>
      <c r="G139">
        <v>4846.3698232978304</v>
      </c>
      <c r="H139" s="9">
        <f t="shared" si="7"/>
        <v>242318.49116489151</v>
      </c>
      <c r="I139" s="9">
        <f t="shared" si="6"/>
        <v>-160754.11236915184</v>
      </c>
    </row>
    <row r="140" spans="3:9" x14ac:dyDescent="0.35">
      <c r="C140">
        <v>16755.851924192022</v>
      </c>
      <c r="D140" s="9">
        <f t="shared" ref="D140:D203" si="8">50*MIN(C140,6000)</f>
        <v>300000</v>
      </c>
      <c r="E140" s="9">
        <f t="shared" ref="E140:E203" si="9">70*MIN(C140,15000)-500000</f>
        <v>550000</v>
      </c>
      <c r="G140">
        <v>4279.4885097811821</v>
      </c>
      <c r="H140" s="9">
        <f t="shared" si="7"/>
        <v>213974.4254890591</v>
      </c>
      <c r="I140" s="9">
        <f t="shared" ref="I140:I203" si="10">70*MIN(G140,15000)-500000</f>
        <v>-200435.80431531725</v>
      </c>
    </row>
    <row r="141" spans="3:9" x14ac:dyDescent="0.35">
      <c r="C141">
        <v>15877.224036378064</v>
      </c>
      <c r="D141" s="9">
        <f t="shared" si="8"/>
        <v>300000</v>
      </c>
      <c r="E141" s="9">
        <f t="shared" si="9"/>
        <v>550000</v>
      </c>
      <c r="G141">
        <v>5045.8082827234721</v>
      </c>
      <c r="H141" s="9">
        <f t="shared" ref="H141:H204" si="11">50*MIN(G141,6000)</f>
        <v>252290.41413617361</v>
      </c>
      <c r="I141" s="9">
        <f t="shared" si="10"/>
        <v>-146793.42020935693</v>
      </c>
    </row>
    <row r="142" spans="3:9" x14ac:dyDescent="0.35">
      <c r="C142">
        <v>14368.236335337382</v>
      </c>
      <c r="D142" s="9">
        <f t="shared" si="8"/>
        <v>300000</v>
      </c>
      <c r="E142" s="9">
        <f t="shared" si="9"/>
        <v>505776.54347361671</v>
      </c>
      <c r="G142">
        <v>4189.6114993743704</v>
      </c>
      <c r="H142" s="9">
        <f t="shared" si="11"/>
        <v>209480.57496871852</v>
      </c>
      <c r="I142" s="9">
        <f t="shared" si="10"/>
        <v>-206727.19504379405</v>
      </c>
    </row>
    <row r="143" spans="3:9" x14ac:dyDescent="0.35">
      <c r="C143">
        <v>14100.131229590746</v>
      </c>
      <c r="D143" s="9">
        <f t="shared" si="8"/>
        <v>300000</v>
      </c>
      <c r="E143" s="9">
        <f t="shared" si="9"/>
        <v>487009.18607135222</v>
      </c>
      <c r="G143">
        <v>4009.7048860133673</v>
      </c>
      <c r="H143" s="9">
        <f t="shared" si="11"/>
        <v>200485.24430066836</v>
      </c>
      <c r="I143" s="9">
        <f t="shared" si="10"/>
        <v>-219320.65797906427</v>
      </c>
    </row>
    <row r="144" spans="3:9" x14ac:dyDescent="0.35">
      <c r="C144">
        <v>13475.722525711844</v>
      </c>
      <c r="D144" s="9">
        <f t="shared" si="8"/>
        <v>300000</v>
      </c>
      <c r="E144" s="9">
        <f t="shared" si="9"/>
        <v>443300.57679982914</v>
      </c>
      <c r="G144">
        <v>5556.8407238990449</v>
      </c>
      <c r="H144" s="9">
        <f t="shared" si="11"/>
        <v>277842.03619495226</v>
      </c>
      <c r="I144" s="9">
        <f t="shared" si="10"/>
        <v>-111021.14932706684</v>
      </c>
    </row>
    <row r="145" spans="3:9" x14ac:dyDescent="0.35">
      <c r="C145">
        <v>14573.931089205604</v>
      </c>
      <c r="D145" s="9">
        <f t="shared" si="8"/>
        <v>300000</v>
      </c>
      <c r="E145" s="9">
        <f t="shared" si="9"/>
        <v>520175.17624439229</v>
      </c>
      <c r="G145">
        <v>7109.6224860377815</v>
      </c>
      <c r="H145" s="9">
        <f t="shared" si="11"/>
        <v>300000</v>
      </c>
      <c r="I145" s="9">
        <f t="shared" si="10"/>
        <v>-2326.4259773552767</v>
      </c>
    </row>
    <row r="146" spans="3:9" x14ac:dyDescent="0.35">
      <c r="C146">
        <v>16287.545396282847</v>
      </c>
      <c r="D146" s="9">
        <f t="shared" si="8"/>
        <v>300000</v>
      </c>
      <c r="E146" s="9">
        <f t="shared" si="9"/>
        <v>550000</v>
      </c>
      <c r="G146">
        <v>3720.0842310861535</v>
      </c>
      <c r="H146" s="9">
        <f t="shared" si="11"/>
        <v>186004.21155430767</v>
      </c>
      <c r="I146" s="9">
        <f t="shared" si="10"/>
        <v>-239594.10382396926</v>
      </c>
    </row>
    <row r="147" spans="3:9" x14ac:dyDescent="0.35">
      <c r="C147">
        <v>15573.870052186652</v>
      </c>
      <c r="D147" s="9">
        <f t="shared" si="8"/>
        <v>300000</v>
      </c>
      <c r="E147" s="9">
        <f t="shared" si="9"/>
        <v>550000</v>
      </c>
      <c r="G147">
        <v>3028.2296212652973</v>
      </c>
      <c r="H147" s="9">
        <f t="shared" si="11"/>
        <v>151411.48106326486</v>
      </c>
      <c r="I147" s="9">
        <f t="shared" si="10"/>
        <v>-288023.92651142919</v>
      </c>
    </row>
    <row r="148" spans="3:9" x14ac:dyDescent="0.35">
      <c r="C148">
        <v>13581.621753593554</v>
      </c>
      <c r="D148" s="9">
        <f t="shared" si="8"/>
        <v>300000</v>
      </c>
      <c r="E148" s="9">
        <f t="shared" si="9"/>
        <v>450713.52275154879</v>
      </c>
      <c r="G148">
        <v>6343.4553056428722</v>
      </c>
      <c r="H148" s="9">
        <f t="shared" si="11"/>
        <v>300000</v>
      </c>
      <c r="I148" s="9">
        <f t="shared" si="10"/>
        <v>-55958.128604998928</v>
      </c>
    </row>
    <row r="149" spans="3:9" x14ac:dyDescent="0.35">
      <c r="C149">
        <v>12013.428144169438</v>
      </c>
      <c r="D149" s="9">
        <f t="shared" si="8"/>
        <v>300000</v>
      </c>
      <c r="E149" s="9">
        <f t="shared" si="9"/>
        <v>340939.97009186074</v>
      </c>
      <c r="G149">
        <v>4199.8352000488294</v>
      </c>
      <c r="H149" s="9">
        <f t="shared" si="11"/>
        <v>209991.76000244147</v>
      </c>
      <c r="I149" s="9">
        <f t="shared" si="10"/>
        <v>-206011.53599658195</v>
      </c>
    </row>
    <row r="150" spans="3:9" x14ac:dyDescent="0.35">
      <c r="C150">
        <v>16683.21787163915</v>
      </c>
      <c r="D150" s="9">
        <f t="shared" si="8"/>
        <v>300000</v>
      </c>
      <c r="E150" s="9">
        <f t="shared" si="9"/>
        <v>550000</v>
      </c>
      <c r="G150">
        <v>5162.5415814691605</v>
      </c>
      <c r="H150" s="9">
        <f t="shared" si="11"/>
        <v>258127.07907345804</v>
      </c>
      <c r="I150" s="9">
        <f t="shared" si="10"/>
        <v>-138622.08929715876</v>
      </c>
    </row>
    <row r="151" spans="3:9" x14ac:dyDescent="0.35">
      <c r="C151">
        <v>13282.845545823542</v>
      </c>
      <c r="D151" s="9">
        <f t="shared" si="8"/>
        <v>300000</v>
      </c>
      <c r="E151" s="9">
        <f t="shared" si="9"/>
        <v>429799.188207648</v>
      </c>
      <c r="G151">
        <v>7367.8090762047186</v>
      </c>
      <c r="H151" s="9">
        <f t="shared" si="11"/>
        <v>300000</v>
      </c>
      <c r="I151" s="9">
        <f t="shared" si="10"/>
        <v>15746.63533433032</v>
      </c>
    </row>
    <row r="152" spans="3:9" x14ac:dyDescent="0.35">
      <c r="C152">
        <v>12641.804254280221</v>
      </c>
      <c r="D152" s="9">
        <f t="shared" si="8"/>
        <v>300000</v>
      </c>
      <c r="E152" s="9">
        <f t="shared" si="9"/>
        <v>384926.29779961554</v>
      </c>
      <c r="G152">
        <v>6906.2166203802608</v>
      </c>
      <c r="H152" s="9">
        <f t="shared" si="11"/>
        <v>300000</v>
      </c>
      <c r="I152" s="9">
        <f t="shared" si="10"/>
        <v>-16564.836573381734</v>
      </c>
    </row>
    <row r="153" spans="3:9" x14ac:dyDescent="0.35">
      <c r="C153">
        <v>16639.271217993715</v>
      </c>
      <c r="D153" s="9">
        <f t="shared" si="8"/>
        <v>300000</v>
      </c>
      <c r="E153" s="9">
        <f t="shared" si="9"/>
        <v>550000</v>
      </c>
      <c r="G153">
        <v>3028.9925840021974</v>
      </c>
      <c r="H153" s="9">
        <f t="shared" si="11"/>
        <v>151449.62920010986</v>
      </c>
      <c r="I153" s="9">
        <f t="shared" si="10"/>
        <v>-287970.51911984617</v>
      </c>
    </row>
    <row r="154" spans="3:9" x14ac:dyDescent="0.35">
      <c r="C154">
        <v>12279.854731894895</v>
      </c>
      <c r="D154" s="9">
        <f t="shared" si="8"/>
        <v>300000</v>
      </c>
      <c r="E154" s="9">
        <f t="shared" si="9"/>
        <v>359589.83123264264</v>
      </c>
      <c r="G154">
        <v>3343.6384166997286</v>
      </c>
      <c r="H154" s="9">
        <f t="shared" si="11"/>
        <v>167181.92083498643</v>
      </c>
      <c r="I154" s="9">
        <f t="shared" si="10"/>
        <v>-265945.31083101896</v>
      </c>
    </row>
    <row r="155" spans="3:9" x14ac:dyDescent="0.35">
      <c r="C155">
        <v>13394.848475600451</v>
      </c>
      <c r="D155" s="9">
        <f t="shared" si="8"/>
        <v>300000</v>
      </c>
      <c r="E155" s="9">
        <f t="shared" si="9"/>
        <v>437639.3932920316</v>
      </c>
      <c r="G155">
        <v>5156.4378795739613</v>
      </c>
      <c r="H155" s="9">
        <f t="shared" si="11"/>
        <v>257821.89397869806</v>
      </c>
      <c r="I155" s="9">
        <f t="shared" si="10"/>
        <v>-139049.34842982271</v>
      </c>
    </row>
    <row r="156" spans="3:9" x14ac:dyDescent="0.35">
      <c r="C156">
        <v>15633.228553117466</v>
      </c>
      <c r="D156" s="9">
        <f t="shared" si="8"/>
        <v>300000</v>
      </c>
      <c r="E156" s="9">
        <f t="shared" si="9"/>
        <v>550000</v>
      </c>
      <c r="G156">
        <v>7529.2519913327433</v>
      </c>
      <c r="H156" s="9">
        <f t="shared" si="11"/>
        <v>300000</v>
      </c>
      <c r="I156" s="9">
        <f t="shared" si="10"/>
        <v>27047.639393292018</v>
      </c>
    </row>
    <row r="157" spans="3:9" x14ac:dyDescent="0.35">
      <c r="C157">
        <v>15583.788567766351</v>
      </c>
      <c r="D157" s="9">
        <f t="shared" si="8"/>
        <v>300000</v>
      </c>
      <c r="E157" s="9">
        <f t="shared" si="9"/>
        <v>550000</v>
      </c>
      <c r="G157">
        <v>6233.2834864345223</v>
      </c>
      <c r="H157" s="9">
        <f t="shared" si="11"/>
        <v>300000</v>
      </c>
      <c r="I157" s="9">
        <f t="shared" si="10"/>
        <v>-63670.155949583452</v>
      </c>
    </row>
    <row r="158" spans="3:9" x14ac:dyDescent="0.35">
      <c r="C158">
        <v>12989.257484664449</v>
      </c>
      <c r="D158" s="9">
        <f t="shared" si="8"/>
        <v>300000</v>
      </c>
      <c r="E158" s="9">
        <f t="shared" si="9"/>
        <v>409248.02392651141</v>
      </c>
      <c r="G158">
        <v>7388.4090701010164</v>
      </c>
      <c r="H158" s="9">
        <f t="shared" si="11"/>
        <v>300000</v>
      </c>
      <c r="I158" s="9">
        <f t="shared" si="10"/>
        <v>17188.634907071129</v>
      </c>
    </row>
    <row r="159" spans="3:9" x14ac:dyDescent="0.35">
      <c r="C159">
        <v>14740.867336039308</v>
      </c>
      <c r="D159" s="9">
        <f t="shared" si="8"/>
        <v>300000</v>
      </c>
      <c r="E159" s="9">
        <f t="shared" si="9"/>
        <v>531860.71352275158</v>
      </c>
      <c r="G159">
        <v>5419.965208899197</v>
      </c>
      <c r="H159" s="9">
        <f t="shared" si="11"/>
        <v>270998.26044495986</v>
      </c>
      <c r="I159" s="9">
        <f t="shared" si="10"/>
        <v>-120602.43537705619</v>
      </c>
    </row>
    <row r="160" spans="3:9" x14ac:dyDescent="0.35">
      <c r="C160">
        <v>12861.232337412641</v>
      </c>
      <c r="D160" s="9">
        <f t="shared" si="8"/>
        <v>300000</v>
      </c>
      <c r="E160" s="9">
        <f t="shared" si="9"/>
        <v>400286.26361888484</v>
      </c>
      <c r="G160">
        <v>4439.8632770775475</v>
      </c>
      <c r="H160" s="9">
        <f t="shared" si="11"/>
        <v>221993.16385387737</v>
      </c>
      <c r="I160" s="9">
        <f t="shared" si="10"/>
        <v>-189209.57060457167</v>
      </c>
    </row>
    <row r="161" spans="3:9" x14ac:dyDescent="0.35">
      <c r="C161">
        <v>15032.166508987701</v>
      </c>
      <c r="D161" s="9">
        <f t="shared" si="8"/>
        <v>300000</v>
      </c>
      <c r="E161" s="9">
        <f t="shared" si="9"/>
        <v>550000</v>
      </c>
      <c r="G161">
        <v>7720.6030457472461</v>
      </c>
      <c r="H161" s="9">
        <f t="shared" si="11"/>
        <v>300000</v>
      </c>
      <c r="I161" s="9">
        <f t="shared" si="10"/>
        <v>40442.213202307234</v>
      </c>
    </row>
    <row r="162" spans="3:9" x14ac:dyDescent="0.35">
      <c r="C162">
        <v>16450.361644337288</v>
      </c>
      <c r="D162" s="9">
        <f t="shared" si="8"/>
        <v>300000</v>
      </c>
      <c r="E162" s="9">
        <f t="shared" si="9"/>
        <v>550000</v>
      </c>
      <c r="G162">
        <v>5301.5533921323286</v>
      </c>
      <c r="H162" s="9">
        <f t="shared" si="11"/>
        <v>265077.66960661643</v>
      </c>
      <c r="I162" s="9">
        <f t="shared" si="10"/>
        <v>-128891.26255073701</v>
      </c>
    </row>
    <row r="163" spans="3:9" x14ac:dyDescent="0.35">
      <c r="C163">
        <v>13323.435163426619</v>
      </c>
      <c r="D163" s="9">
        <f t="shared" si="8"/>
        <v>300000</v>
      </c>
      <c r="E163" s="9">
        <f t="shared" si="9"/>
        <v>432640.46143986331</v>
      </c>
      <c r="G163">
        <v>7455.3971984008303</v>
      </c>
      <c r="H163" s="9">
        <f t="shared" si="11"/>
        <v>300000</v>
      </c>
      <c r="I163" s="9">
        <f t="shared" si="10"/>
        <v>21877.803888058115</v>
      </c>
    </row>
    <row r="164" spans="3:9" x14ac:dyDescent="0.35">
      <c r="C164">
        <v>12063.478499710074</v>
      </c>
      <c r="D164" s="9">
        <f t="shared" si="8"/>
        <v>300000</v>
      </c>
      <c r="E164" s="9">
        <f t="shared" si="9"/>
        <v>344443.4949797052</v>
      </c>
      <c r="G164">
        <v>7307.2298348948643</v>
      </c>
      <c r="H164" s="9">
        <f t="shared" si="11"/>
        <v>300000</v>
      </c>
      <c r="I164" s="9">
        <f t="shared" si="10"/>
        <v>11506.088442640495</v>
      </c>
    </row>
    <row r="165" spans="3:9" x14ac:dyDescent="0.35">
      <c r="C165">
        <v>12038.758507034516</v>
      </c>
      <c r="D165" s="9">
        <f t="shared" si="8"/>
        <v>300000</v>
      </c>
      <c r="E165" s="9">
        <f t="shared" si="9"/>
        <v>342713.09549241606</v>
      </c>
      <c r="G165">
        <v>3300.9125034333324</v>
      </c>
      <c r="H165" s="9">
        <f t="shared" si="11"/>
        <v>165045.62517166662</v>
      </c>
      <c r="I165" s="9">
        <f t="shared" si="10"/>
        <v>-268936.12475966674</v>
      </c>
    </row>
    <row r="166" spans="3:9" x14ac:dyDescent="0.35">
      <c r="C166">
        <v>13201.971495712149</v>
      </c>
      <c r="D166" s="9">
        <f t="shared" si="8"/>
        <v>300000</v>
      </c>
      <c r="E166" s="9">
        <f t="shared" si="9"/>
        <v>424138.00469985045</v>
      </c>
      <c r="G166">
        <v>7702.7497177037876</v>
      </c>
      <c r="H166" s="9">
        <f t="shared" si="11"/>
        <v>300000</v>
      </c>
      <c r="I166" s="9">
        <f t="shared" si="10"/>
        <v>39192.480239265133</v>
      </c>
    </row>
    <row r="167" spans="3:9" x14ac:dyDescent="0.35">
      <c r="C167">
        <v>14919.400616473891</v>
      </c>
      <c r="D167" s="9">
        <f t="shared" si="8"/>
        <v>300000</v>
      </c>
      <c r="E167" s="9">
        <f t="shared" si="9"/>
        <v>544358.04315317236</v>
      </c>
      <c r="G167">
        <v>7756.7674794763025</v>
      </c>
      <c r="H167" s="9">
        <f t="shared" si="11"/>
        <v>300000</v>
      </c>
      <c r="I167" s="9">
        <f t="shared" si="10"/>
        <v>42973.723563341191</v>
      </c>
    </row>
    <row r="168" spans="3:9" x14ac:dyDescent="0.35">
      <c r="C168">
        <v>16224.52467421491</v>
      </c>
      <c r="D168" s="9">
        <f t="shared" si="8"/>
        <v>300000</v>
      </c>
      <c r="E168" s="9">
        <f t="shared" si="9"/>
        <v>550000</v>
      </c>
      <c r="G168">
        <v>4093.3256019775995</v>
      </c>
      <c r="H168" s="9">
        <f t="shared" si="11"/>
        <v>204666.28009887997</v>
      </c>
      <c r="I168" s="9">
        <f t="shared" si="10"/>
        <v>-213467.20786156802</v>
      </c>
    </row>
    <row r="169" spans="3:9" x14ac:dyDescent="0.35">
      <c r="C169">
        <v>14204.962309640798</v>
      </c>
      <c r="D169" s="9">
        <f t="shared" si="8"/>
        <v>300000</v>
      </c>
      <c r="E169" s="9">
        <f t="shared" si="9"/>
        <v>494347.36167485581</v>
      </c>
      <c r="G169">
        <v>4256.2944425794249</v>
      </c>
      <c r="H169" s="9">
        <f t="shared" si="11"/>
        <v>212814.72212897125</v>
      </c>
      <c r="I169" s="9">
        <f t="shared" si="10"/>
        <v>-202059.38901944028</v>
      </c>
    </row>
    <row r="170" spans="3:9" x14ac:dyDescent="0.35">
      <c r="C170">
        <v>13274.758140812402</v>
      </c>
      <c r="D170" s="9">
        <f t="shared" si="8"/>
        <v>300000</v>
      </c>
      <c r="E170" s="9">
        <f t="shared" si="9"/>
        <v>429233.06985686813</v>
      </c>
      <c r="G170">
        <v>7740.592669454024</v>
      </c>
      <c r="H170" s="9">
        <f t="shared" si="11"/>
        <v>300000</v>
      </c>
      <c r="I170" s="9">
        <f t="shared" si="10"/>
        <v>41841.486861781683</v>
      </c>
    </row>
    <row r="171" spans="3:9" x14ac:dyDescent="0.35">
      <c r="C171">
        <v>13434.675130466629</v>
      </c>
      <c r="D171" s="9">
        <f t="shared" si="8"/>
        <v>300000</v>
      </c>
      <c r="E171" s="9">
        <f t="shared" si="9"/>
        <v>440427.25913266395</v>
      </c>
      <c r="G171">
        <v>3393.8413647877437</v>
      </c>
      <c r="H171" s="9">
        <f t="shared" si="11"/>
        <v>169692.06823938718</v>
      </c>
      <c r="I171" s="9">
        <f t="shared" si="10"/>
        <v>-262431.10446485796</v>
      </c>
    </row>
    <row r="172" spans="3:9" x14ac:dyDescent="0.35">
      <c r="C172">
        <v>14135.380108035524</v>
      </c>
      <c r="D172" s="9">
        <f t="shared" si="8"/>
        <v>300000</v>
      </c>
      <c r="E172" s="9">
        <f t="shared" si="9"/>
        <v>489476.60756248666</v>
      </c>
      <c r="G172">
        <v>6540.2996917630535</v>
      </c>
      <c r="H172" s="9">
        <f t="shared" si="11"/>
        <v>300000</v>
      </c>
      <c r="I172" s="9">
        <f t="shared" si="10"/>
        <v>-42179.021576586238</v>
      </c>
    </row>
    <row r="173" spans="3:9" x14ac:dyDescent="0.35">
      <c r="C173">
        <v>16125.492110965301</v>
      </c>
      <c r="D173" s="9">
        <f t="shared" si="8"/>
        <v>300000</v>
      </c>
      <c r="E173" s="9">
        <f t="shared" si="9"/>
        <v>550000</v>
      </c>
      <c r="G173">
        <v>4006.1952574236275</v>
      </c>
      <c r="H173" s="9">
        <f t="shared" si="11"/>
        <v>200309.76287118136</v>
      </c>
      <c r="I173" s="9">
        <f t="shared" si="10"/>
        <v>-219566.33198034606</v>
      </c>
    </row>
    <row r="174" spans="3:9" x14ac:dyDescent="0.35">
      <c r="C174">
        <v>12476.393932920317</v>
      </c>
      <c r="D174" s="9">
        <f t="shared" si="8"/>
        <v>300000</v>
      </c>
      <c r="E174" s="9">
        <f t="shared" si="9"/>
        <v>373347.57530442218</v>
      </c>
      <c r="G174">
        <v>6721.2744529557185</v>
      </c>
      <c r="H174" s="9">
        <f t="shared" si="11"/>
        <v>300000</v>
      </c>
      <c r="I174" s="9">
        <f t="shared" si="10"/>
        <v>-29510.788293099729</v>
      </c>
    </row>
    <row r="175" spans="3:9" x14ac:dyDescent="0.35">
      <c r="C175">
        <v>15168.736838892788</v>
      </c>
      <c r="D175" s="9">
        <f t="shared" si="8"/>
        <v>300000</v>
      </c>
      <c r="E175" s="9">
        <f t="shared" si="9"/>
        <v>550000</v>
      </c>
      <c r="G175">
        <v>3253.9139988402967</v>
      </c>
      <c r="H175" s="9">
        <f t="shared" si="11"/>
        <v>162695.69994201482</v>
      </c>
      <c r="I175" s="9">
        <f t="shared" si="10"/>
        <v>-272226.02008117922</v>
      </c>
    </row>
    <row r="176" spans="3:9" x14ac:dyDescent="0.35">
      <c r="C176">
        <v>13230.201116977447</v>
      </c>
      <c r="D176" s="9">
        <f t="shared" si="8"/>
        <v>300000</v>
      </c>
      <c r="E176" s="9">
        <f t="shared" si="9"/>
        <v>426114.07818842132</v>
      </c>
      <c r="G176">
        <v>7071.6269417401654</v>
      </c>
      <c r="H176" s="9">
        <f t="shared" si="11"/>
        <v>300000</v>
      </c>
      <c r="I176" s="9">
        <f t="shared" si="10"/>
        <v>-4986.1140781884314</v>
      </c>
    </row>
    <row r="177" spans="3:9" x14ac:dyDescent="0.35">
      <c r="C177">
        <v>14007.965330973235</v>
      </c>
      <c r="D177" s="9">
        <f t="shared" si="8"/>
        <v>300000</v>
      </c>
      <c r="E177" s="9">
        <f t="shared" si="9"/>
        <v>480557.5731681264</v>
      </c>
      <c r="G177">
        <v>5525.7118442335268</v>
      </c>
      <c r="H177" s="9">
        <f t="shared" si="11"/>
        <v>276285.59221167635</v>
      </c>
      <c r="I177" s="9">
        <f t="shared" si="10"/>
        <v>-113200.17090365314</v>
      </c>
    </row>
    <row r="178" spans="3:9" x14ac:dyDescent="0.35">
      <c r="C178">
        <v>14159.031952879421</v>
      </c>
      <c r="D178" s="9">
        <f t="shared" si="8"/>
        <v>300000</v>
      </c>
      <c r="E178" s="9">
        <f t="shared" si="9"/>
        <v>491132.23670155951</v>
      </c>
      <c r="G178">
        <v>7480.574968718528</v>
      </c>
      <c r="H178" s="9">
        <f t="shared" si="11"/>
        <v>300000</v>
      </c>
      <c r="I178" s="9">
        <f t="shared" si="10"/>
        <v>23640.247810296947</v>
      </c>
    </row>
    <row r="179" spans="3:9" x14ac:dyDescent="0.35">
      <c r="C179">
        <v>16640.949736014893</v>
      </c>
      <c r="D179" s="9">
        <f t="shared" si="8"/>
        <v>300000</v>
      </c>
      <c r="E179" s="9">
        <f t="shared" si="9"/>
        <v>550000</v>
      </c>
      <c r="G179">
        <v>6048.7990966521193</v>
      </c>
      <c r="H179" s="9">
        <f t="shared" si="11"/>
        <v>300000</v>
      </c>
      <c r="I179" s="9">
        <f t="shared" si="10"/>
        <v>-76584.063234351634</v>
      </c>
    </row>
    <row r="180" spans="3:9" x14ac:dyDescent="0.35">
      <c r="C180">
        <v>16725.791192358163</v>
      </c>
      <c r="D180" s="9">
        <f t="shared" si="8"/>
        <v>300000</v>
      </c>
      <c r="E180" s="9">
        <f t="shared" si="9"/>
        <v>550000</v>
      </c>
      <c r="G180">
        <v>5393.2615131077</v>
      </c>
      <c r="H180" s="9">
        <f t="shared" si="11"/>
        <v>269663.07565538498</v>
      </c>
      <c r="I180" s="9">
        <f t="shared" si="10"/>
        <v>-122471.69408246101</v>
      </c>
    </row>
    <row r="181" spans="3:9" x14ac:dyDescent="0.35">
      <c r="C181">
        <v>12373.088778344065</v>
      </c>
      <c r="D181" s="9">
        <f t="shared" si="8"/>
        <v>300000</v>
      </c>
      <c r="E181" s="9">
        <f t="shared" si="9"/>
        <v>366116.21448408451</v>
      </c>
      <c r="G181">
        <v>4670.5832087160861</v>
      </c>
      <c r="H181" s="9">
        <f t="shared" si="11"/>
        <v>233529.16043580431</v>
      </c>
      <c r="I181" s="9">
        <f t="shared" si="10"/>
        <v>-173059.17538987397</v>
      </c>
    </row>
    <row r="182" spans="3:9" x14ac:dyDescent="0.35">
      <c r="C182">
        <v>14743.156224250008</v>
      </c>
      <c r="D182" s="9">
        <f t="shared" si="8"/>
        <v>300000</v>
      </c>
      <c r="E182" s="9">
        <f t="shared" si="9"/>
        <v>532020.93569750059</v>
      </c>
      <c r="G182">
        <v>5031.0068056276132</v>
      </c>
      <c r="H182" s="9">
        <f t="shared" si="11"/>
        <v>251550.34028138066</v>
      </c>
      <c r="I182" s="9">
        <f t="shared" si="10"/>
        <v>-147829.52360606706</v>
      </c>
    </row>
    <row r="183" spans="3:9" x14ac:dyDescent="0.35">
      <c r="C183">
        <v>16139.683217871639</v>
      </c>
      <c r="D183" s="9">
        <f t="shared" si="8"/>
        <v>300000</v>
      </c>
      <c r="E183" s="9">
        <f t="shared" si="9"/>
        <v>550000</v>
      </c>
      <c r="G183">
        <v>6498.3367412335583</v>
      </c>
      <c r="H183" s="9">
        <f t="shared" si="11"/>
        <v>300000</v>
      </c>
      <c r="I183" s="9">
        <f t="shared" si="10"/>
        <v>-45116.428113650938</v>
      </c>
    </row>
    <row r="184" spans="3:9" x14ac:dyDescent="0.35">
      <c r="C184">
        <v>14602.923673207801</v>
      </c>
      <c r="D184" s="9">
        <f t="shared" si="8"/>
        <v>300000</v>
      </c>
      <c r="E184" s="9">
        <f t="shared" si="9"/>
        <v>522204.65712454601</v>
      </c>
      <c r="G184">
        <v>5571.0318308053838</v>
      </c>
      <c r="H184" s="9">
        <f t="shared" si="11"/>
        <v>278551.5915402692</v>
      </c>
      <c r="I184" s="9">
        <f t="shared" si="10"/>
        <v>-110027.77184362314</v>
      </c>
    </row>
    <row r="185" spans="3:9" x14ac:dyDescent="0.35">
      <c r="C185">
        <v>14240.974150822474</v>
      </c>
      <c r="D185" s="9">
        <f t="shared" si="8"/>
        <v>300000</v>
      </c>
      <c r="E185" s="9">
        <f t="shared" si="9"/>
        <v>496868.19055757322</v>
      </c>
      <c r="G185">
        <v>7068.1173131504256</v>
      </c>
      <c r="H185" s="9">
        <f t="shared" si="11"/>
        <v>300000</v>
      </c>
      <c r="I185" s="9">
        <f t="shared" si="10"/>
        <v>-5231.7880794702214</v>
      </c>
    </row>
    <row r="186" spans="3:9" x14ac:dyDescent="0.35">
      <c r="C186">
        <v>13785.485396893215</v>
      </c>
      <c r="D186" s="9">
        <f t="shared" si="8"/>
        <v>300000</v>
      </c>
      <c r="E186" s="9">
        <f t="shared" si="9"/>
        <v>464983.97778252501</v>
      </c>
      <c r="G186">
        <v>6517.258217108676</v>
      </c>
      <c r="H186" s="9">
        <f t="shared" si="11"/>
        <v>300000</v>
      </c>
      <c r="I186" s="9">
        <f t="shared" si="10"/>
        <v>-43791.924802392663</v>
      </c>
    </row>
    <row r="187" spans="3:9" x14ac:dyDescent="0.35">
      <c r="C187">
        <v>16647.968993194372</v>
      </c>
      <c r="D187" s="9">
        <f t="shared" si="8"/>
        <v>300000</v>
      </c>
      <c r="E187" s="9">
        <f t="shared" si="9"/>
        <v>550000</v>
      </c>
      <c r="G187">
        <v>3592.0590838343455</v>
      </c>
      <c r="H187" s="9">
        <f t="shared" si="11"/>
        <v>179602.95419171729</v>
      </c>
      <c r="I187" s="9">
        <f t="shared" si="10"/>
        <v>-248555.86413159582</v>
      </c>
    </row>
    <row r="188" spans="3:9" x14ac:dyDescent="0.35">
      <c r="C188">
        <v>15454.237495040743</v>
      </c>
      <c r="D188" s="9">
        <f t="shared" si="8"/>
        <v>300000</v>
      </c>
      <c r="E188" s="9">
        <f t="shared" si="9"/>
        <v>550000</v>
      </c>
      <c r="G188">
        <v>6868.8314462721646</v>
      </c>
      <c r="H188" s="9">
        <f t="shared" si="11"/>
        <v>300000</v>
      </c>
      <c r="I188" s="9">
        <f t="shared" si="10"/>
        <v>-19181.79876094847</v>
      </c>
    </row>
    <row r="189" spans="3:9" x14ac:dyDescent="0.35">
      <c r="C189">
        <v>13708.578753013702</v>
      </c>
      <c r="D189" s="9">
        <f t="shared" si="8"/>
        <v>300000</v>
      </c>
      <c r="E189" s="9">
        <f t="shared" si="9"/>
        <v>459600.51271095918</v>
      </c>
      <c r="G189">
        <v>3727.5612659077733</v>
      </c>
      <c r="H189" s="9">
        <f t="shared" si="11"/>
        <v>186378.06329538865</v>
      </c>
      <c r="I189" s="9">
        <f t="shared" si="10"/>
        <v>-239070.71138645586</v>
      </c>
    </row>
    <row r="190" spans="3:9" x14ac:dyDescent="0.35">
      <c r="C190">
        <v>16867.549668874173</v>
      </c>
      <c r="D190" s="9">
        <f t="shared" si="8"/>
        <v>300000</v>
      </c>
      <c r="E190" s="9">
        <f t="shared" si="9"/>
        <v>550000</v>
      </c>
      <c r="G190">
        <v>5006.744590594195</v>
      </c>
      <c r="H190" s="9">
        <f t="shared" si="11"/>
        <v>250337.22952970976</v>
      </c>
      <c r="I190" s="9">
        <f t="shared" si="10"/>
        <v>-149527.87865840638</v>
      </c>
    </row>
    <row r="191" spans="3:9" x14ac:dyDescent="0.35">
      <c r="C191">
        <v>15301.950132755515</v>
      </c>
      <c r="D191" s="9">
        <f t="shared" si="8"/>
        <v>300000</v>
      </c>
      <c r="E191" s="9">
        <f t="shared" si="9"/>
        <v>550000</v>
      </c>
      <c r="G191">
        <v>7338.663899655141</v>
      </c>
      <c r="H191" s="9">
        <f t="shared" si="11"/>
        <v>300000</v>
      </c>
      <c r="I191" s="9">
        <f t="shared" si="10"/>
        <v>13706.472975859884</v>
      </c>
    </row>
    <row r="192" spans="3:9" x14ac:dyDescent="0.35">
      <c r="C192">
        <v>13733.45133823664</v>
      </c>
      <c r="D192" s="9">
        <f t="shared" si="8"/>
        <v>300000</v>
      </c>
      <c r="E192" s="9">
        <f t="shared" si="9"/>
        <v>461341.59367656487</v>
      </c>
      <c r="G192">
        <v>4127.6589251380965</v>
      </c>
      <c r="H192" s="9">
        <f t="shared" si="11"/>
        <v>206382.94625690483</v>
      </c>
      <c r="I192" s="9">
        <f t="shared" si="10"/>
        <v>-211063.87524033326</v>
      </c>
    </row>
    <row r="193" spans="3:9" x14ac:dyDescent="0.35">
      <c r="C193">
        <v>12328.836939603871</v>
      </c>
      <c r="D193" s="9">
        <f t="shared" si="8"/>
        <v>300000</v>
      </c>
      <c r="E193" s="9">
        <f t="shared" si="9"/>
        <v>363018.58577227092</v>
      </c>
      <c r="G193">
        <v>3028.8399914548172</v>
      </c>
      <c r="H193" s="9">
        <f t="shared" si="11"/>
        <v>151441.99957274087</v>
      </c>
      <c r="I193" s="9">
        <f t="shared" si="10"/>
        <v>-287981.20059816283</v>
      </c>
    </row>
    <row r="194" spans="3:9" x14ac:dyDescent="0.35">
      <c r="C194">
        <v>12086.519974364452</v>
      </c>
      <c r="D194" s="9">
        <f t="shared" si="8"/>
        <v>300000</v>
      </c>
      <c r="E194" s="9">
        <f t="shared" si="9"/>
        <v>346056.39820551162</v>
      </c>
      <c r="G194">
        <v>4151.9211401715138</v>
      </c>
      <c r="H194" s="9">
        <f t="shared" si="11"/>
        <v>207596.05700857568</v>
      </c>
      <c r="I194" s="9">
        <f t="shared" si="10"/>
        <v>-209365.52018799406</v>
      </c>
    </row>
    <row r="195" spans="3:9" x14ac:dyDescent="0.35">
      <c r="C195">
        <v>12038.300729392377</v>
      </c>
      <c r="D195" s="9">
        <f t="shared" si="8"/>
        <v>300000</v>
      </c>
      <c r="E195" s="9">
        <f t="shared" si="9"/>
        <v>342681.05105746631</v>
      </c>
      <c r="G195">
        <v>7905.5452131717884</v>
      </c>
      <c r="H195" s="9">
        <f t="shared" si="11"/>
        <v>300000</v>
      </c>
      <c r="I195" s="9">
        <f t="shared" si="10"/>
        <v>53388.164922025171</v>
      </c>
    </row>
    <row r="196" spans="3:9" x14ac:dyDescent="0.35">
      <c r="C196">
        <v>14436.750389110995</v>
      </c>
      <c r="D196" s="9">
        <f t="shared" si="8"/>
        <v>300000</v>
      </c>
      <c r="E196" s="9">
        <f t="shared" si="9"/>
        <v>510572.52723776968</v>
      </c>
      <c r="G196">
        <v>5967.162083803827</v>
      </c>
      <c r="H196" s="9">
        <f t="shared" si="11"/>
        <v>298358.10419019137</v>
      </c>
      <c r="I196" s="9">
        <f t="shared" si="10"/>
        <v>-82298.654133732081</v>
      </c>
    </row>
    <row r="197" spans="3:9" x14ac:dyDescent="0.35">
      <c r="C197">
        <v>13192.663350321971</v>
      </c>
      <c r="D197" s="9">
        <f t="shared" si="8"/>
        <v>300000</v>
      </c>
      <c r="E197" s="9">
        <f t="shared" si="9"/>
        <v>423486.43452253798</v>
      </c>
      <c r="G197">
        <v>4242.8662984099856</v>
      </c>
      <c r="H197" s="9">
        <f t="shared" si="11"/>
        <v>212143.31492049928</v>
      </c>
      <c r="I197" s="9">
        <f t="shared" si="10"/>
        <v>-202999.35911130102</v>
      </c>
    </row>
    <row r="198" spans="3:9" x14ac:dyDescent="0.35">
      <c r="C198">
        <v>13435.132908108768</v>
      </c>
      <c r="D198" s="9">
        <f t="shared" si="8"/>
        <v>300000</v>
      </c>
      <c r="E198" s="9">
        <f t="shared" si="9"/>
        <v>440459.30356761371</v>
      </c>
      <c r="G198">
        <v>3251.9302957243567</v>
      </c>
      <c r="H198" s="9">
        <f t="shared" si="11"/>
        <v>162596.51478621783</v>
      </c>
      <c r="I198" s="9">
        <f t="shared" si="10"/>
        <v>-272364.87929929502</v>
      </c>
    </row>
    <row r="199" spans="3:9" x14ac:dyDescent="0.35">
      <c r="C199">
        <v>12589.465010528886</v>
      </c>
      <c r="D199" s="9">
        <f t="shared" si="8"/>
        <v>300000</v>
      </c>
      <c r="E199" s="9">
        <f t="shared" si="9"/>
        <v>381262.55073702196</v>
      </c>
      <c r="G199">
        <v>3560.9302041688284</v>
      </c>
      <c r="H199" s="9">
        <f t="shared" si="11"/>
        <v>178046.51020844141</v>
      </c>
      <c r="I199" s="9">
        <f t="shared" si="10"/>
        <v>-250734.885708182</v>
      </c>
    </row>
    <row r="200" spans="3:9" x14ac:dyDescent="0.35">
      <c r="C200">
        <v>14745.902890102847</v>
      </c>
      <c r="D200" s="9">
        <f t="shared" si="8"/>
        <v>300000</v>
      </c>
      <c r="E200" s="9">
        <f t="shared" si="9"/>
        <v>532213.20230719924</v>
      </c>
      <c r="G200">
        <v>6589.89226966155</v>
      </c>
      <c r="H200" s="9">
        <f t="shared" si="11"/>
        <v>300000</v>
      </c>
      <c r="I200" s="9">
        <f t="shared" si="10"/>
        <v>-38707.541123691481</v>
      </c>
    </row>
    <row r="201" spans="3:9" x14ac:dyDescent="0.35">
      <c r="C201">
        <v>14122.562334055605</v>
      </c>
      <c r="D201" s="9">
        <f t="shared" si="8"/>
        <v>300000</v>
      </c>
      <c r="E201" s="9">
        <f t="shared" si="9"/>
        <v>488579.36338389234</v>
      </c>
      <c r="G201">
        <v>5242.5000762962736</v>
      </c>
      <c r="H201" s="9">
        <f t="shared" si="11"/>
        <v>262125.00381481368</v>
      </c>
      <c r="I201" s="9">
        <f t="shared" si="10"/>
        <v>-133024.99465926085</v>
      </c>
    </row>
    <row r="202" spans="3:9" x14ac:dyDescent="0.35">
      <c r="C202">
        <v>16841.761528366955</v>
      </c>
      <c r="D202" s="9">
        <f t="shared" si="8"/>
        <v>300000</v>
      </c>
      <c r="E202" s="9">
        <f t="shared" si="9"/>
        <v>550000</v>
      </c>
      <c r="G202">
        <v>4745.2009643848996</v>
      </c>
      <c r="H202" s="9">
        <f t="shared" si="11"/>
        <v>237260.04821924499</v>
      </c>
      <c r="I202" s="9">
        <f t="shared" si="10"/>
        <v>-167835.93249305704</v>
      </c>
    </row>
    <row r="203" spans="3:9" x14ac:dyDescent="0.35">
      <c r="C203">
        <v>13477.706228827785</v>
      </c>
      <c r="D203" s="9">
        <f t="shared" si="8"/>
        <v>300000</v>
      </c>
      <c r="E203" s="9">
        <f t="shared" si="9"/>
        <v>443439.43601794494</v>
      </c>
      <c r="G203">
        <v>6317.6671651356555</v>
      </c>
      <c r="H203" s="9">
        <f t="shared" si="11"/>
        <v>300000</v>
      </c>
      <c r="I203" s="9">
        <f t="shared" si="10"/>
        <v>-57763.298440504121</v>
      </c>
    </row>
    <row r="204" spans="3:9" x14ac:dyDescent="0.35">
      <c r="C204">
        <v>14665.791802728354</v>
      </c>
      <c r="D204" s="9">
        <f t="shared" ref="D204:D267" si="12">50*MIN(C204,6000)</f>
        <v>300000</v>
      </c>
      <c r="E204" s="9">
        <f t="shared" ref="E204:E267" si="13">70*MIN(C204,15000)-500000</f>
        <v>526605.42619098478</v>
      </c>
      <c r="G204">
        <v>4471.4499343852049</v>
      </c>
      <c r="H204" s="9">
        <f t="shared" si="11"/>
        <v>223572.49671926023</v>
      </c>
      <c r="I204" s="9">
        <f t="shared" ref="I204:I267" si="14">70*MIN(G204,15000)-500000</f>
        <v>-186998.50459303567</v>
      </c>
    </row>
    <row r="205" spans="3:9" x14ac:dyDescent="0.35">
      <c r="C205">
        <v>13884.975737784967</v>
      </c>
      <c r="D205" s="9">
        <f t="shared" si="12"/>
        <v>300000</v>
      </c>
      <c r="E205" s="9">
        <f t="shared" si="13"/>
        <v>471948.30164494773</v>
      </c>
      <c r="G205">
        <v>4558.7328714865562</v>
      </c>
      <c r="H205" s="9">
        <f t="shared" ref="H205:H268" si="15">50*MIN(G205,6000)</f>
        <v>227936.64357432781</v>
      </c>
      <c r="I205" s="9">
        <f t="shared" si="14"/>
        <v>-180888.69899594109</v>
      </c>
    </row>
    <row r="206" spans="3:9" x14ac:dyDescent="0.35">
      <c r="C206">
        <v>12162.511062959686</v>
      </c>
      <c r="D206" s="9">
        <f t="shared" si="12"/>
        <v>300000</v>
      </c>
      <c r="E206" s="9">
        <f t="shared" si="13"/>
        <v>351375.77440717805</v>
      </c>
      <c r="G206">
        <v>3666.2190618610184</v>
      </c>
      <c r="H206" s="9">
        <f t="shared" si="15"/>
        <v>183310.95309305092</v>
      </c>
      <c r="I206" s="9">
        <f t="shared" si="14"/>
        <v>-243364.66566972871</v>
      </c>
    </row>
    <row r="207" spans="3:9" x14ac:dyDescent="0.35">
      <c r="C207">
        <v>14170.018616290781</v>
      </c>
      <c r="D207" s="9">
        <f t="shared" si="12"/>
        <v>300000</v>
      </c>
      <c r="E207" s="9">
        <f t="shared" si="13"/>
        <v>491901.30314035469</v>
      </c>
      <c r="G207">
        <v>6690.1455732902004</v>
      </c>
      <c r="H207" s="9">
        <f t="shared" si="15"/>
        <v>300000</v>
      </c>
      <c r="I207" s="9">
        <f t="shared" si="14"/>
        <v>-31689.809869685967</v>
      </c>
    </row>
    <row r="208" spans="3:9" x14ac:dyDescent="0.35">
      <c r="C208">
        <v>16188.512833033234</v>
      </c>
      <c r="D208" s="9">
        <f t="shared" si="12"/>
        <v>300000</v>
      </c>
      <c r="E208" s="9">
        <f t="shared" si="13"/>
        <v>550000</v>
      </c>
      <c r="G208">
        <v>3715.6590472121343</v>
      </c>
      <c r="H208" s="9">
        <f t="shared" si="15"/>
        <v>185782.95236060672</v>
      </c>
      <c r="I208" s="9">
        <f t="shared" si="14"/>
        <v>-239903.86669515059</v>
      </c>
    </row>
    <row r="209" spans="3:9" x14ac:dyDescent="0.35">
      <c r="C209">
        <v>12824.610126041443</v>
      </c>
      <c r="D209" s="9">
        <f t="shared" si="12"/>
        <v>300000</v>
      </c>
      <c r="E209" s="9">
        <f t="shared" si="13"/>
        <v>397722.70882290101</v>
      </c>
      <c r="G209">
        <v>5438.8866847743157</v>
      </c>
      <c r="H209" s="9">
        <f t="shared" si="15"/>
        <v>271944.33423871576</v>
      </c>
      <c r="I209" s="9">
        <f t="shared" si="14"/>
        <v>-119277.93206579791</v>
      </c>
    </row>
    <row r="210" spans="3:9" x14ac:dyDescent="0.35">
      <c r="C210">
        <v>16900.204474013488</v>
      </c>
      <c r="D210" s="9">
        <f t="shared" si="12"/>
        <v>300000</v>
      </c>
      <c r="E210" s="9">
        <f t="shared" si="13"/>
        <v>550000</v>
      </c>
      <c r="G210">
        <v>6095.6450086977748</v>
      </c>
      <c r="H210" s="9">
        <f t="shared" si="15"/>
        <v>300000</v>
      </c>
      <c r="I210" s="9">
        <f t="shared" si="14"/>
        <v>-73304.84939115576</v>
      </c>
    </row>
    <row r="211" spans="3:9" x14ac:dyDescent="0.35">
      <c r="C211">
        <v>14046.418652912991</v>
      </c>
      <c r="D211" s="9">
        <f t="shared" si="12"/>
        <v>300000</v>
      </c>
      <c r="E211" s="9">
        <f t="shared" si="13"/>
        <v>483249.30570390937</v>
      </c>
      <c r="G211">
        <v>6468.1234168523206</v>
      </c>
      <c r="H211" s="9">
        <f t="shared" si="15"/>
        <v>300000</v>
      </c>
      <c r="I211" s="9">
        <f t="shared" si="14"/>
        <v>-47231.360820337548</v>
      </c>
    </row>
    <row r="212" spans="3:9" x14ac:dyDescent="0.35">
      <c r="C212">
        <v>13012.298959318827</v>
      </c>
      <c r="D212" s="9">
        <f t="shared" si="12"/>
        <v>300000</v>
      </c>
      <c r="E212" s="9">
        <f t="shared" si="13"/>
        <v>410860.92715231783</v>
      </c>
      <c r="G212">
        <v>6357.6464125492112</v>
      </c>
      <c r="H212" s="9">
        <f t="shared" si="15"/>
        <v>300000</v>
      </c>
      <c r="I212" s="9">
        <f t="shared" si="14"/>
        <v>-54964.751121555222</v>
      </c>
    </row>
    <row r="213" spans="3:9" x14ac:dyDescent="0.35">
      <c r="C213">
        <v>16831.385235145113</v>
      </c>
      <c r="D213" s="9">
        <f t="shared" si="12"/>
        <v>300000</v>
      </c>
      <c r="E213" s="9">
        <f t="shared" si="13"/>
        <v>550000</v>
      </c>
      <c r="G213">
        <v>7063.2343516342662</v>
      </c>
      <c r="H213" s="9">
        <f t="shared" si="15"/>
        <v>300000</v>
      </c>
      <c r="I213" s="9">
        <f t="shared" si="14"/>
        <v>-5573.5953856013948</v>
      </c>
    </row>
    <row r="214" spans="3:9" x14ac:dyDescent="0.35">
      <c r="C214">
        <v>14931.760612811671</v>
      </c>
      <c r="D214" s="9">
        <f t="shared" si="12"/>
        <v>300000</v>
      </c>
      <c r="E214" s="9">
        <f t="shared" si="13"/>
        <v>545223.24289681704</v>
      </c>
      <c r="G214">
        <v>6135.776848658712</v>
      </c>
      <c r="H214" s="9">
        <f t="shared" si="15"/>
        <v>300000</v>
      </c>
      <c r="I214" s="9">
        <f t="shared" si="14"/>
        <v>-70495.62059389014</v>
      </c>
    </row>
    <row r="215" spans="3:9" x14ac:dyDescent="0.35">
      <c r="C215">
        <v>14338.938566240424</v>
      </c>
      <c r="D215" s="9">
        <f t="shared" si="12"/>
        <v>300000</v>
      </c>
      <c r="E215" s="9">
        <f t="shared" si="13"/>
        <v>503725.69963682967</v>
      </c>
      <c r="G215">
        <v>5914.9754325998711</v>
      </c>
      <c r="H215" s="9">
        <f t="shared" si="15"/>
        <v>295748.77162999357</v>
      </c>
      <c r="I215" s="9">
        <f t="shared" si="14"/>
        <v>-85951.719718009001</v>
      </c>
    </row>
    <row r="216" spans="3:9" x14ac:dyDescent="0.35">
      <c r="C216">
        <v>15350.321970274972</v>
      </c>
      <c r="D216" s="9">
        <f t="shared" si="12"/>
        <v>300000</v>
      </c>
      <c r="E216" s="9">
        <f t="shared" si="13"/>
        <v>550000</v>
      </c>
      <c r="G216">
        <v>6395.3367717520678</v>
      </c>
      <c r="H216" s="9">
        <f t="shared" si="15"/>
        <v>300000</v>
      </c>
      <c r="I216" s="9">
        <f t="shared" si="14"/>
        <v>-52326.425977355277</v>
      </c>
    </row>
    <row r="217" spans="3:9" x14ac:dyDescent="0.35">
      <c r="C217">
        <v>16040.192876979889</v>
      </c>
      <c r="D217" s="9">
        <f t="shared" si="12"/>
        <v>300000</v>
      </c>
      <c r="E217" s="9">
        <f t="shared" si="13"/>
        <v>550000</v>
      </c>
      <c r="G217">
        <v>5575.6096072267828</v>
      </c>
      <c r="H217" s="9">
        <f t="shared" si="15"/>
        <v>278780.48036133917</v>
      </c>
      <c r="I217" s="9">
        <f t="shared" si="14"/>
        <v>-109707.32749412523</v>
      </c>
    </row>
    <row r="218" spans="3:9" x14ac:dyDescent="0.35">
      <c r="C218">
        <v>16029.053621021149</v>
      </c>
      <c r="D218" s="9">
        <f t="shared" si="12"/>
        <v>300000</v>
      </c>
      <c r="E218" s="9">
        <f t="shared" si="13"/>
        <v>550000</v>
      </c>
      <c r="G218">
        <v>3443.4339426862393</v>
      </c>
      <c r="H218" s="9">
        <f t="shared" si="15"/>
        <v>172171.69713431198</v>
      </c>
      <c r="I218" s="9">
        <f t="shared" si="14"/>
        <v>-258959.62401196326</v>
      </c>
    </row>
    <row r="219" spans="3:9" x14ac:dyDescent="0.35">
      <c r="C219">
        <v>12697.500534073915</v>
      </c>
      <c r="D219" s="9">
        <f t="shared" si="12"/>
        <v>300000</v>
      </c>
      <c r="E219" s="9">
        <f t="shared" si="13"/>
        <v>388825.03738517407</v>
      </c>
      <c r="G219">
        <v>4295.2055421613204</v>
      </c>
      <c r="H219" s="9">
        <f t="shared" si="15"/>
        <v>214760.27710806602</v>
      </c>
      <c r="I219" s="9">
        <f t="shared" si="14"/>
        <v>-199335.61204870755</v>
      </c>
    </row>
    <row r="220" spans="3:9" x14ac:dyDescent="0.35">
      <c r="C220">
        <v>16856.563005462813</v>
      </c>
      <c r="D220" s="9">
        <f t="shared" si="12"/>
        <v>300000</v>
      </c>
      <c r="E220" s="9">
        <f t="shared" si="13"/>
        <v>550000</v>
      </c>
      <c r="G220">
        <v>3830.1034577471237</v>
      </c>
      <c r="H220" s="9">
        <f t="shared" si="15"/>
        <v>191505.1728873562</v>
      </c>
      <c r="I220" s="9">
        <f t="shared" si="14"/>
        <v>-231892.75795770134</v>
      </c>
    </row>
    <row r="221" spans="3:9" x14ac:dyDescent="0.35">
      <c r="C221">
        <v>12177.159947508164</v>
      </c>
      <c r="D221" s="9">
        <f t="shared" si="12"/>
        <v>300000</v>
      </c>
      <c r="E221" s="9">
        <f t="shared" si="13"/>
        <v>352401.19632557151</v>
      </c>
      <c r="G221">
        <v>5085.0245674001289</v>
      </c>
      <c r="H221" s="9">
        <f t="shared" si="15"/>
        <v>254251.22837000646</v>
      </c>
      <c r="I221" s="9">
        <f t="shared" si="14"/>
        <v>-144048.280281991</v>
      </c>
    </row>
    <row r="222" spans="3:9" x14ac:dyDescent="0.35">
      <c r="C222">
        <v>14450.331125827815</v>
      </c>
      <c r="D222" s="9">
        <f t="shared" si="12"/>
        <v>300000</v>
      </c>
      <c r="E222" s="9">
        <f t="shared" si="13"/>
        <v>511523.17880794709</v>
      </c>
      <c r="G222">
        <v>5849.9710074159975</v>
      </c>
      <c r="H222" s="9">
        <f t="shared" si="15"/>
        <v>292498.5503707999</v>
      </c>
      <c r="I222" s="9">
        <f t="shared" si="14"/>
        <v>-90502.029480880185</v>
      </c>
    </row>
    <row r="223" spans="3:9" x14ac:dyDescent="0.35">
      <c r="C223">
        <v>15539.384136478773</v>
      </c>
      <c r="D223" s="9">
        <f t="shared" si="12"/>
        <v>300000</v>
      </c>
      <c r="E223" s="9">
        <f t="shared" si="13"/>
        <v>550000</v>
      </c>
      <c r="G223">
        <v>5139.1949217200236</v>
      </c>
      <c r="H223" s="9">
        <f t="shared" si="15"/>
        <v>256959.74608600116</v>
      </c>
      <c r="I223" s="9">
        <f t="shared" si="14"/>
        <v>-140256.35547959834</v>
      </c>
    </row>
    <row r="224" spans="3:9" x14ac:dyDescent="0.35">
      <c r="C224">
        <v>13203.039643543809</v>
      </c>
      <c r="D224" s="9">
        <f t="shared" si="12"/>
        <v>300000</v>
      </c>
      <c r="E224" s="9">
        <f t="shared" si="13"/>
        <v>424212.77504806663</v>
      </c>
      <c r="G224">
        <v>4499.5269631031224</v>
      </c>
      <c r="H224" s="9">
        <f t="shared" si="15"/>
        <v>224976.34815515613</v>
      </c>
      <c r="I224" s="9">
        <f t="shared" si="14"/>
        <v>-185033.11258278141</v>
      </c>
    </row>
    <row r="225" spans="3:9" x14ac:dyDescent="0.35">
      <c r="C225">
        <v>15952.146977141636</v>
      </c>
      <c r="D225" s="9">
        <f t="shared" si="12"/>
        <v>300000</v>
      </c>
      <c r="E225" s="9">
        <f t="shared" si="13"/>
        <v>550000</v>
      </c>
      <c r="G225">
        <v>6294.7782830286569</v>
      </c>
      <c r="H225" s="9">
        <f t="shared" si="15"/>
        <v>300000</v>
      </c>
      <c r="I225" s="9">
        <f t="shared" si="14"/>
        <v>-59365.520187994</v>
      </c>
    </row>
    <row r="226" spans="3:9" x14ac:dyDescent="0.35">
      <c r="C226">
        <v>12385.601367229225</v>
      </c>
      <c r="D226" s="9">
        <f t="shared" si="12"/>
        <v>300000</v>
      </c>
      <c r="E226" s="9">
        <f t="shared" si="13"/>
        <v>366992.09570604574</v>
      </c>
      <c r="G226">
        <v>4100.4974517044584</v>
      </c>
      <c r="H226" s="9">
        <f t="shared" si="15"/>
        <v>205024.87258522291</v>
      </c>
      <c r="I226" s="9">
        <f t="shared" si="14"/>
        <v>-212965.1783806879</v>
      </c>
    </row>
    <row r="227" spans="3:9" x14ac:dyDescent="0.35">
      <c r="C227">
        <v>15837.855159154027</v>
      </c>
      <c r="D227" s="9">
        <f t="shared" si="12"/>
        <v>300000</v>
      </c>
      <c r="E227" s="9">
        <f t="shared" si="13"/>
        <v>550000</v>
      </c>
      <c r="G227">
        <v>5149.7238074892421</v>
      </c>
      <c r="H227" s="9">
        <f t="shared" si="15"/>
        <v>257486.19037446211</v>
      </c>
      <c r="I227" s="9">
        <f t="shared" si="14"/>
        <v>-139519.33347575308</v>
      </c>
    </row>
    <row r="228" spans="3:9" x14ac:dyDescent="0.35">
      <c r="C228">
        <v>14340.311899166845</v>
      </c>
      <c r="D228" s="9">
        <f t="shared" si="12"/>
        <v>300000</v>
      </c>
      <c r="E228" s="9">
        <f t="shared" si="13"/>
        <v>503821.83294167917</v>
      </c>
      <c r="G228">
        <v>3981.3226722006898</v>
      </c>
      <c r="H228" s="9">
        <f t="shared" si="15"/>
        <v>199066.13361003448</v>
      </c>
      <c r="I228" s="9">
        <f t="shared" si="14"/>
        <v>-221307.41294595174</v>
      </c>
    </row>
    <row r="229" spans="3:9" x14ac:dyDescent="0.35">
      <c r="C229">
        <v>13406.44550920133</v>
      </c>
      <c r="D229" s="9">
        <f t="shared" si="12"/>
        <v>300000</v>
      </c>
      <c r="E229" s="9">
        <f t="shared" si="13"/>
        <v>438451.18564409309</v>
      </c>
      <c r="G229">
        <v>7913.174840540788</v>
      </c>
      <c r="H229" s="9">
        <f t="shared" si="15"/>
        <v>300000</v>
      </c>
      <c r="I229" s="9">
        <f t="shared" si="14"/>
        <v>53922.23883785517</v>
      </c>
    </row>
    <row r="230" spans="3:9" x14ac:dyDescent="0.35">
      <c r="C230">
        <v>16537.186803796503</v>
      </c>
      <c r="D230" s="9">
        <f t="shared" si="12"/>
        <v>300000</v>
      </c>
      <c r="E230" s="9">
        <f t="shared" si="13"/>
        <v>550000</v>
      </c>
      <c r="G230">
        <v>3243.5377056184575</v>
      </c>
      <c r="H230" s="9">
        <f t="shared" si="15"/>
        <v>162176.88528092287</v>
      </c>
      <c r="I230" s="9">
        <f t="shared" si="14"/>
        <v>-272952.36060670798</v>
      </c>
    </row>
    <row r="231" spans="3:9" x14ac:dyDescent="0.35">
      <c r="C231">
        <v>16506.363109225746</v>
      </c>
      <c r="D231" s="9">
        <f t="shared" si="12"/>
        <v>300000</v>
      </c>
      <c r="E231" s="9">
        <f t="shared" si="13"/>
        <v>550000</v>
      </c>
      <c r="G231">
        <v>3157.4755088961456</v>
      </c>
      <c r="H231" s="9">
        <f t="shared" si="15"/>
        <v>157873.77544480728</v>
      </c>
      <c r="I231" s="9">
        <f t="shared" si="14"/>
        <v>-278976.71437726985</v>
      </c>
    </row>
    <row r="232" spans="3:9" x14ac:dyDescent="0.35">
      <c r="C232">
        <v>14966.856898709068</v>
      </c>
      <c r="D232" s="9">
        <f t="shared" si="12"/>
        <v>300000</v>
      </c>
      <c r="E232" s="9">
        <f t="shared" si="13"/>
        <v>547679.98290963471</v>
      </c>
      <c r="G232">
        <v>6351.5427106540119</v>
      </c>
      <c r="H232" s="9">
        <f t="shared" si="15"/>
        <v>300000</v>
      </c>
      <c r="I232" s="9">
        <f t="shared" si="14"/>
        <v>-55392.010254219174</v>
      </c>
    </row>
    <row r="233" spans="3:9" x14ac:dyDescent="0.35">
      <c r="C233">
        <v>12623.035370952482</v>
      </c>
      <c r="D233" s="9">
        <f t="shared" si="12"/>
        <v>300000</v>
      </c>
      <c r="E233" s="9">
        <f t="shared" si="13"/>
        <v>383612.47596667381</v>
      </c>
      <c r="G233">
        <v>3505.5391094698934</v>
      </c>
      <c r="H233" s="9">
        <f t="shared" si="15"/>
        <v>175276.95547349466</v>
      </c>
      <c r="I233" s="9">
        <f t="shared" si="14"/>
        <v>-254612.26233710744</v>
      </c>
    </row>
    <row r="234" spans="3:9" x14ac:dyDescent="0.35">
      <c r="C234">
        <v>13615.192114017151</v>
      </c>
      <c r="D234" s="9">
        <f t="shared" si="12"/>
        <v>300000</v>
      </c>
      <c r="E234" s="9">
        <f t="shared" si="13"/>
        <v>453063.44798120053</v>
      </c>
      <c r="G234">
        <v>7703.0549027985471</v>
      </c>
      <c r="H234" s="9">
        <f t="shared" si="15"/>
        <v>300000</v>
      </c>
      <c r="I234" s="9">
        <f t="shared" si="14"/>
        <v>39213.843195898342</v>
      </c>
    </row>
    <row r="235" spans="3:9" x14ac:dyDescent="0.35">
      <c r="C235">
        <v>12035.554063539537</v>
      </c>
      <c r="D235" s="9">
        <f t="shared" si="12"/>
        <v>300000</v>
      </c>
      <c r="E235" s="9">
        <f t="shared" si="13"/>
        <v>342488.78444776766</v>
      </c>
      <c r="G235">
        <v>3032.654805139317</v>
      </c>
      <c r="H235" s="9">
        <f t="shared" si="15"/>
        <v>151632.74025696586</v>
      </c>
      <c r="I235" s="9">
        <f t="shared" si="14"/>
        <v>-287714.16364024777</v>
      </c>
    </row>
    <row r="236" spans="3:9" x14ac:dyDescent="0.35">
      <c r="C236">
        <v>15247.169408246102</v>
      </c>
      <c r="D236" s="9">
        <f t="shared" si="12"/>
        <v>300000</v>
      </c>
      <c r="E236" s="9">
        <f t="shared" si="13"/>
        <v>550000</v>
      </c>
      <c r="G236">
        <v>6077.333903012177</v>
      </c>
      <c r="H236" s="9">
        <f t="shared" si="15"/>
        <v>300000</v>
      </c>
      <c r="I236" s="9">
        <f t="shared" si="14"/>
        <v>-74586.626789147616</v>
      </c>
    </row>
    <row r="237" spans="3:9" x14ac:dyDescent="0.35">
      <c r="C237">
        <v>14703.787347025971</v>
      </c>
      <c r="D237" s="9">
        <f t="shared" si="12"/>
        <v>300000</v>
      </c>
      <c r="E237" s="9">
        <f t="shared" si="13"/>
        <v>529265.114291818</v>
      </c>
      <c r="G237">
        <v>3940.7330545976138</v>
      </c>
      <c r="H237" s="9">
        <f t="shared" si="15"/>
        <v>197036.65272988068</v>
      </c>
      <c r="I237" s="9">
        <f t="shared" si="14"/>
        <v>-224148.68617816706</v>
      </c>
    </row>
    <row r="238" spans="3:9" x14ac:dyDescent="0.35">
      <c r="C238">
        <v>13031.983397930846</v>
      </c>
      <c r="D238" s="9">
        <f t="shared" si="12"/>
        <v>300000</v>
      </c>
      <c r="E238" s="9">
        <f t="shared" si="13"/>
        <v>412238.83785515919</v>
      </c>
      <c r="G238">
        <v>4561.7847224341567</v>
      </c>
      <c r="H238" s="9">
        <f t="shared" si="15"/>
        <v>228089.23612170783</v>
      </c>
      <c r="I238" s="9">
        <f t="shared" si="14"/>
        <v>-180675.06942960905</v>
      </c>
    </row>
    <row r="239" spans="3:9" x14ac:dyDescent="0.35">
      <c r="C239">
        <v>13536.912137211219</v>
      </c>
      <c r="D239" s="9">
        <f t="shared" si="12"/>
        <v>300000</v>
      </c>
      <c r="E239" s="9">
        <f t="shared" si="13"/>
        <v>447583.84960478533</v>
      </c>
      <c r="G239">
        <v>6956.2669759208966</v>
      </c>
      <c r="H239" s="9">
        <f t="shared" si="15"/>
        <v>300000</v>
      </c>
      <c r="I239" s="9">
        <f t="shared" si="14"/>
        <v>-13061.311685537221</v>
      </c>
    </row>
    <row r="240" spans="3:9" x14ac:dyDescent="0.35">
      <c r="C240">
        <v>16301.889095736564</v>
      </c>
      <c r="D240" s="9">
        <f t="shared" si="12"/>
        <v>300000</v>
      </c>
      <c r="E240" s="9">
        <f t="shared" si="13"/>
        <v>550000</v>
      </c>
      <c r="G240">
        <v>3825.0679036835841</v>
      </c>
      <c r="H240" s="9">
        <f t="shared" si="15"/>
        <v>191253.39518417921</v>
      </c>
      <c r="I240" s="9">
        <f t="shared" si="14"/>
        <v>-232245.24674214912</v>
      </c>
    </row>
    <row r="241" spans="3:9" x14ac:dyDescent="0.35">
      <c r="C241">
        <v>15419.904171880245</v>
      </c>
      <c r="D241" s="9">
        <f t="shared" si="12"/>
        <v>300000</v>
      </c>
      <c r="E241" s="9">
        <f t="shared" si="13"/>
        <v>550000</v>
      </c>
      <c r="G241">
        <v>3090.4873805963316</v>
      </c>
      <c r="H241" s="9">
        <f t="shared" si="15"/>
        <v>154524.36902981659</v>
      </c>
      <c r="I241" s="9">
        <f t="shared" si="14"/>
        <v>-283665.88335825677</v>
      </c>
    </row>
    <row r="242" spans="3:9" x14ac:dyDescent="0.35">
      <c r="C242">
        <v>12573.442793053988</v>
      </c>
      <c r="D242" s="9">
        <f t="shared" si="12"/>
        <v>300000</v>
      </c>
      <c r="E242" s="9">
        <f t="shared" si="13"/>
        <v>380140.99551377911</v>
      </c>
      <c r="G242">
        <v>7091.0061952574233</v>
      </c>
      <c r="H242" s="9">
        <f t="shared" si="15"/>
        <v>300000</v>
      </c>
      <c r="I242" s="9">
        <f t="shared" si="14"/>
        <v>-3629.5663319803425</v>
      </c>
    </row>
    <row r="243" spans="3:9" x14ac:dyDescent="0.35">
      <c r="C243">
        <v>14852.565080721457</v>
      </c>
      <c r="D243" s="9">
        <f t="shared" si="12"/>
        <v>300000</v>
      </c>
      <c r="E243" s="9">
        <f t="shared" si="13"/>
        <v>539679.55565050198</v>
      </c>
      <c r="G243">
        <v>7959.4103823969235</v>
      </c>
      <c r="H243" s="9">
        <f t="shared" si="15"/>
        <v>300000</v>
      </c>
      <c r="I243" s="9">
        <f t="shared" si="14"/>
        <v>57158.726767784683</v>
      </c>
    </row>
    <row r="244" spans="3:9" x14ac:dyDescent="0.35">
      <c r="C244">
        <v>12505.844294564653</v>
      </c>
      <c r="D244" s="9">
        <f t="shared" si="12"/>
        <v>300000</v>
      </c>
      <c r="E244" s="9">
        <f t="shared" si="13"/>
        <v>375409.10061952565</v>
      </c>
      <c r="G244">
        <v>4467.4825281533249</v>
      </c>
      <c r="H244" s="9">
        <f t="shared" si="15"/>
        <v>223374.12640766625</v>
      </c>
      <c r="I244" s="9">
        <f t="shared" si="14"/>
        <v>-187276.22302926728</v>
      </c>
    </row>
    <row r="245" spans="3:9" x14ac:dyDescent="0.35">
      <c r="C245">
        <v>16443.647572252572</v>
      </c>
      <c r="D245" s="9">
        <f t="shared" si="12"/>
        <v>300000</v>
      </c>
      <c r="E245" s="9">
        <f t="shared" si="13"/>
        <v>550000</v>
      </c>
      <c r="G245">
        <v>6935.6669820245988</v>
      </c>
      <c r="H245" s="9">
        <f t="shared" si="15"/>
        <v>300000</v>
      </c>
      <c r="I245" s="9">
        <f t="shared" si="14"/>
        <v>-14503.311258278089</v>
      </c>
    </row>
    <row r="246" spans="3:9" x14ac:dyDescent="0.35">
      <c r="C246">
        <v>15331.095309305094</v>
      </c>
      <c r="D246" s="9">
        <f t="shared" si="12"/>
        <v>300000</v>
      </c>
      <c r="E246" s="9">
        <f t="shared" si="13"/>
        <v>550000</v>
      </c>
      <c r="G246">
        <v>3052.797021393475</v>
      </c>
      <c r="H246" s="9">
        <f t="shared" si="15"/>
        <v>152639.85106967375</v>
      </c>
      <c r="I246" s="9">
        <f t="shared" si="14"/>
        <v>-286304.20850245678</v>
      </c>
    </row>
    <row r="247" spans="3:9" x14ac:dyDescent="0.35">
      <c r="C247">
        <v>14884.151738029115</v>
      </c>
      <c r="D247" s="9">
        <f t="shared" si="12"/>
        <v>300000</v>
      </c>
      <c r="E247" s="9">
        <f t="shared" si="13"/>
        <v>541890.62166203803</v>
      </c>
      <c r="G247">
        <v>3138.2488479262674</v>
      </c>
      <c r="H247" s="9">
        <f t="shared" si="15"/>
        <v>156912.44239631336</v>
      </c>
      <c r="I247" s="9">
        <f t="shared" si="14"/>
        <v>-280322.58064516127</v>
      </c>
    </row>
    <row r="248" spans="3:9" x14ac:dyDescent="0.35">
      <c r="C248">
        <v>15124.637592699972</v>
      </c>
      <c r="D248" s="9">
        <f t="shared" si="12"/>
        <v>300000</v>
      </c>
      <c r="E248" s="9">
        <f t="shared" si="13"/>
        <v>550000</v>
      </c>
      <c r="G248">
        <v>3066.988128299814</v>
      </c>
      <c r="H248" s="9">
        <f t="shared" si="15"/>
        <v>153349.40641499069</v>
      </c>
      <c r="I248" s="9">
        <f t="shared" si="14"/>
        <v>-285310.83101901301</v>
      </c>
    </row>
    <row r="249" spans="3:9" x14ac:dyDescent="0.35">
      <c r="C249">
        <v>12565.202795495468</v>
      </c>
      <c r="D249" s="9">
        <f t="shared" si="12"/>
        <v>300000</v>
      </c>
      <c r="E249" s="9">
        <f t="shared" si="13"/>
        <v>379564.19568468281</v>
      </c>
      <c r="G249">
        <v>3738.3953367717522</v>
      </c>
      <c r="H249" s="9">
        <f t="shared" si="15"/>
        <v>186919.76683858762</v>
      </c>
      <c r="I249" s="9">
        <f t="shared" si="14"/>
        <v>-238312.32642597734</v>
      </c>
    </row>
    <row r="250" spans="3:9" x14ac:dyDescent="0.35">
      <c r="C250">
        <v>13674.550614947966</v>
      </c>
      <c r="D250" s="9">
        <f t="shared" si="12"/>
        <v>300000</v>
      </c>
      <c r="E250" s="9">
        <f t="shared" si="13"/>
        <v>457218.54304635758</v>
      </c>
      <c r="G250">
        <v>4812.0365001373339</v>
      </c>
      <c r="H250" s="9">
        <f t="shared" si="15"/>
        <v>240601.82500686668</v>
      </c>
      <c r="I250" s="9">
        <f t="shared" si="14"/>
        <v>-163157.4449903866</v>
      </c>
    </row>
    <row r="251" spans="3:9" x14ac:dyDescent="0.35">
      <c r="C251">
        <v>13800.439466536454</v>
      </c>
      <c r="D251" s="9">
        <f t="shared" si="12"/>
        <v>300000</v>
      </c>
      <c r="E251" s="9">
        <f t="shared" si="13"/>
        <v>466030.76265755179</v>
      </c>
      <c r="G251">
        <v>6446.6078676717425</v>
      </c>
      <c r="H251" s="9">
        <f t="shared" si="15"/>
        <v>300000</v>
      </c>
      <c r="I251" s="9">
        <f t="shared" si="14"/>
        <v>-48737.449262978043</v>
      </c>
    </row>
    <row r="252" spans="3:9" x14ac:dyDescent="0.35">
      <c r="C252">
        <v>14318.796349986267</v>
      </c>
      <c r="D252" s="9">
        <f t="shared" si="12"/>
        <v>300000</v>
      </c>
      <c r="E252" s="9">
        <f t="shared" si="13"/>
        <v>502315.74449903867</v>
      </c>
      <c r="G252">
        <v>7120.6091494491411</v>
      </c>
      <c r="H252" s="9">
        <f t="shared" si="15"/>
        <v>300000</v>
      </c>
      <c r="I252" s="9">
        <f t="shared" si="14"/>
        <v>-1557.3595385601511</v>
      </c>
    </row>
    <row r="253" spans="3:9" x14ac:dyDescent="0.35">
      <c r="C253">
        <v>13803.491317484055</v>
      </c>
      <c r="D253" s="9">
        <f t="shared" si="12"/>
        <v>300000</v>
      </c>
      <c r="E253" s="9">
        <f t="shared" si="13"/>
        <v>466244.39222388389</v>
      </c>
      <c r="G253">
        <v>5434.0037232581562</v>
      </c>
      <c r="H253" s="9">
        <f t="shared" si="15"/>
        <v>271700.1861629078</v>
      </c>
      <c r="I253" s="9">
        <f t="shared" si="14"/>
        <v>-119619.73937192908</v>
      </c>
    </row>
    <row r="254" spans="3:9" x14ac:dyDescent="0.35">
      <c r="C254">
        <v>13546.983245338297</v>
      </c>
      <c r="D254" s="9">
        <f t="shared" si="12"/>
        <v>300000</v>
      </c>
      <c r="E254" s="9">
        <f t="shared" si="13"/>
        <v>448288.82717368077</v>
      </c>
      <c r="G254">
        <v>5783.7458418530841</v>
      </c>
      <c r="H254" s="9">
        <f t="shared" si="15"/>
        <v>289187.29209265421</v>
      </c>
      <c r="I254" s="9">
        <f t="shared" si="14"/>
        <v>-95137.791070284089</v>
      </c>
    </row>
    <row r="255" spans="3:9" x14ac:dyDescent="0.35">
      <c r="C255">
        <v>13276.741843928343</v>
      </c>
      <c r="D255" s="9">
        <f t="shared" si="12"/>
        <v>300000</v>
      </c>
      <c r="E255" s="9">
        <f t="shared" si="13"/>
        <v>429371.92907498404</v>
      </c>
      <c r="G255">
        <v>7475.5394146549879</v>
      </c>
      <c r="H255" s="9">
        <f t="shared" si="15"/>
        <v>300000</v>
      </c>
      <c r="I255" s="9">
        <f t="shared" si="14"/>
        <v>23287.759025849169</v>
      </c>
    </row>
    <row r="256" spans="3:9" x14ac:dyDescent="0.35">
      <c r="C256">
        <v>14049.775688955351</v>
      </c>
      <c r="D256" s="9">
        <f t="shared" si="12"/>
        <v>300000</v>
      </c>
      <c r="E256" s="9">
        <f t="shared" si="13"/>
        <v>483484.29822687455</v>
      </c>
      <c r="G256">
        <v>5844.7828608050786</v>
      </c>
      <c r="H256" s="9">
        <f t="shared" si="15"/>
        <v>292239.14304025396</v>
      </c>
      <c r="I256" s="9">
        <f t="shared" si="14"/>
        <v>-90865.199743644509</v>
      </c>
    </row>
    <row r="257" spans="3:9" x14ac:dyDescent="0.35">
      <c r="C257">
        <v>13813.409833063753</v>
      </c>
      <c r="D257" s="9">
        <f t="shared" si="12"/>
        <v>300000</v>
      </c>
      <c r="E257" s="9">
        <f t="shared" si="13"/>
        <v>466938.68831446278</v>
      </c>
      <c r="G257">
        <v>7900.3570665608695</v>
      </c>
      <c r="H257" s="9">
        <f t="shared" si="15"/>
        <v>300000</v>
      </c>
      <c r="I257" s="9">
        <f t="shared" si="14"/>
        <v>53024.994659260847</v>
      </c>
    </row>
    <row r="258" spans="3:9" x14ac:dyDescent="0.35">
      <c r="C258">
        <v>14863.246559038056</v>
      </c>
      <c r="D258" s="9">
        <f t="shared" si="12"/>
        <v>300000</v>
      </c>
      <c r="E258" s="9">
        <f t="shared" si="13"/>
        <v>540427.25913266395</v>
      </c>
      <c r="G258">
        <v>5250.5874813074133</v>
      </c>
      <c r="H258" s="9">
        <f t="shared" si="15"/>
        <v>262529.37406537065</v>
      </c>
      <c r="I258" s="9">
        <f t="shared" si="14"/>
        <v>-132458.87630848109</v>
      </c>
    </row>
    <row r="259" spans="3:9" x14ac:dyDescent="0.35">
      <c r="C259">
        <v>13423.688467055268</v>
      </c>
      <c r="D259" s="9">
        <f t="shared" si="12"/>
        <v>300000</v>
      </c>
      <c r="E259" s="9">
        <f t="shared" si="13"/>
        <v>439658.19269386877</v>
      </c>
      <c r="G259">
        <v>5126.6823328348646</v>
      </c>
      <c r="H259" s="9">
        <f t="shared" si="15"/>
        <v>256334.11664174323</v>
      </c>
      <c r="I259" s="9">
        <f t="shared" si="14"/>
        <v>-141132.23670155945</v>
      </c>
    </row>
    <row r="260" spans="3:9" x14ac:dyDescent="0.35">
      <c r="C260">
        <v>16916.684469130527</v>
      </c>
      <c r="D260" s="9">
        <f t="shared" si="12"/>
        <v>300000</v>
      </c>
      <c r="E260" s="9">
        <f t="shared" si="13"/>
        <v>550000</v>
      </c>
      <c r="G260">
        <v>4783.6542863246559</v>
      </c>
      <c r="H260" s="9">
        <f t="shared" si="15"/>
        <v>239182.7143162328</v>
      </c>
      <c r="I260" s="9">
        <f t="shared" si="14"/>
        <v>-165144.19995727408</v>
      </c>
    </row>
    <row r="261" spans="3:9" x14ac:dyDescent="0.35">
      <c r="C261">
        <v>13501.663258766443</v>
      </c>
      <c r="D261" s="9">
        <f t="shared" si="12"/>
        <v>300000</v>
      </c>
      <c r="E261" s="9">
        <f t="shared" si="13"/>
        <v>445116.428113651</v>
      </c>
      <c r="G261">
        <v>5260.2008117923524</v>
      </c>
      <c r="H261" s="9">
        <f t="shared" si="15"/>
        <v>263010.04058961762</v>
      </c>
      <c r="I261" s="9">
        <f t="shared" si="14"/>
        <v>-131785.94317453535</v>
      </c>
    </row>
    <row r="262" spans="3:9" x14ac:dyDescent="0.35">
      <c r="C262">
        <v>16293.649098178044</v>
      </c>
      <c r="D262" s="9">
        <f t="shared" si="12"/>
        <v>300000</v>
      </c>
      <c r="E262" s="9">
        <f t="shared" si="13"/>
        <v>550000</v>
      </c>
      <c r="G262">
        <v>6081.9116794335769</v>
      </c>
      <c r="H262" s="9">
        <f t="shared" si="15"/>
        <v>300000</v>
      </c>
      <c r="I262" s="9">
        <f t="shared" si="14"/>
        <v>-74266.182439649594</v>
      </c>
    </row>
    <row r="263" spans="3:9" x14ac:dyDescent="0.35">
      <c r="C263">
        <v>16563.73790704062</v>
      </c>
      <c r="D263" s="9">
        <f t="shared" si="12"/>
        <v>300000</v>
      </c>
      <c r="E263" s="9">
        <f t="shared" si="13"/>
        <v>550000</v>
      </c>
      <c r="G263">
        <v>7583.2697531052581</v>
      </c>
      <c r="H263" s="9">
        <f t="shared" si="15"/>
        <v>300000</v>
      </c>
      <c r="I263" s="9">
        <f t="shared" si="14"/>
        <v>30828.882717368077</v>
      </c>
    </row>
    <row r="264" spans="3:9" x14ac:dyDescent="0.35">
      <c r="C264">
        <v>13456.190679647207</v>
      </c>
      <c r="D264" s="9">
        <f t="shared" si="12"/>
        <v>300000</v>
      </c>
      <c r="E264" s="9">
        <f t="shared" si="13"/>
        <v>441933.34757530445</v>
      </c>
      <c r="G264">
        <v>6519.2419202246165</v>
      </c>
      <c r="H264" s="9">
        <f t="shared" si="15"/>
        <v>300000</v>
      </c>
      <c r="I264" s="9">
        <f t="shared" si="14"/>
        <v>-43653.065584276861</v>
      </c>
    </row>
    <row r="265" spans="3:9" x14ac:dyDescent="0.35">
      <c r="C265">
        <v>16250.465407269508</v>
      </c>
      <c r="D265" s="9">
        <f t="shared" si="12"/>
        <v>300000</v>
      </c>
      <c r="E265" s="9">
        <f t="shared" si="13"/>
        <v>550000</v>
      </c>
      <c r="G265">
        <v>5872.7072969756155</v>
      </c>
      <c r="H265" s="9">
        <f t="shared" si="15"/>
        <v>293635.3648487808</v>
      </c>
      <c r="I265" s="9">
        <f t="shared" si="14"/>
        <v>-88910.48921170691</v>
      </c>
    </row>
    <row r="266" spans="3:9" x14ac:dyDescent="0.35">
      <c r="C266">
        <v>15212.988677632984</v>
      </c>
      <c r="D266" s="9">
        <f t="shared" si="12"/>
        <v>300000</v>
      </c>
      <c r="E266" s="9">
        <f t="shared" si="13"/>
        <v>550000</v>
      </c>
      <c r="G266">
        <v>7381.5424054689165</v>
      </c>
      <c r="H266" s="9">
        <f t="shared" si="15"/>
        <v>300000</v>
      </c>
      <c r="I266" s="9">
        <f t="shared" si="14"/>
        <v>16707.968382824154</v>
      </c>
    </row>
    <row r="267" spans="3:9" x14ac:dyDescent="0.35">
      <c r="C267">
        <v>15505.966368602558</v>
      </c>
      <c r="D267" s="9">
        <f t="shared" si="12"/>
        <v>300000</v>
      </c>
      <c r="E267" s="9">
        <f t="shared" si="13"/>
        <v>550000</v>
      </c>
      <c r="G267">
        <v>7485.9157078768276</v>
      </c>
      <c r="H267" s="9">
        <f t="shared" si="15"/>
        <v>300000</v>
      </c>
      <c r="I267" s="9">
        <f t="shared" si="14"/>
        <v>24014.099551377934</v>
      </c>
    </row>
    <row r="268" spans="3:9" x14ac:dyDescent="0.35">
      <c r="C268">
        <v>12936.765648365734</v>
      </c>
      <c r="D268" s="9">
        <f t="shared" ref="D268:D331" si="16">50*MIN(C268,6000)</f>
        <v>300000</v>
      </c>
      <c r="E268" s="9">
        <f t="shared" ref="E268:E331" si="17">70*MIN(C268,15000)-500000</f>
        <v>405573.59538560139</v>
      </c>
      <c r="G268">
        <v>5768.1814020203255</v>
      </c>
      <c r="H268" s="9">
        <f t="shared" si="15"/>
        <v>288409.07010101626</v>
      </c>
      <c r="I268" s="9">
        <f t="shared" ref="I268:I331" si="18">70*MIN(G268,15000)-500000</f>
        <v>-96227.301858577237</v>
      </c>
    </row>
    <row r="269" spans="3:9" x14ac:dyDescent="0.35">
      <c r="C269">
        <v>13661.122470778528</v>
      </c>
      <c r="D269" s="9">
        <f t="shared" si="16"/>
        <v>300000</v>
      </c>
      <c r="E269" s="9">
        <f t="shared" si="17"/>
        <v>456278.57295449695</v>
      </c>
      <c r="G269">
        <v>5171.3919492171999</v>
      </c>
      <c r="H269" s="9">
        <f t="shared" ref="H269:H332" si="19">50*MIN(G269,6000)</f>
        <v>258569.59746086001</v>
      </c>
      <c r="I269" s="9">
        <f t="shared" si="18"/>
        <v>-138002.56355479598</v>
      </c>
    </row>
    <row r="270" spans="3:9" x14ac:dyDescent="0.35">
      <c r="C270">
        <v>16097.109897152623</v>
      </c>
      <c r="D270" s="9">
        <f t="shared" si="16"/>
        <v>300000</v>
      </c>
      <c r="E270" s="9">
        <f t="shared" si="17"/>
        <v>550000</v>
      </c>
      <c r="G270">
        <v>6601.4893032624286</v>
      </c>
      <c r="H270" s="9">
        <f t="shared" si="19"/>
        <v>300000</v>
      </c>
      <c r="I270" s="9">
        <f t="shared" si="18"/>
        <v>-37895.748771629995</v>
      </c>
    </row>
    <row r="271" spans="3:9" x14ac:dyDescent="0.35">
      <c r="C271">
        <v>16483.626819666126</v>
      </c>
      <c r="D271" s="9">
        <f t="shared" si="16"/>
        <v>300000</v>
      </c>
      <c r="E271" s="9">
        <f t="shared" si="17"/>
        <v>550000</v>
      </c>
      <c r="G271">
        <v>3721.3049714651938</v>
      </c>
      <c r="H271" s="9">
        <f t="shared" si="19"/>
        <v>186065.24857325968</v>
      </c>
      <c r="I271" s="9">
        <f t="shared" si="18"/>
        <v>-239508.65199743642</v>
      </c>
    </row>
    <row r="272" spans="3:9" x14ac:dyDescent="0.35">
      <c r="C272">
        <v>15178.197576830347</v>
      </c>
      <c r="D272" s="9">
        <f t="shared" si="16"/>
        <v>300000</v>
      </c>
      <c r="E272" s="9">
        <f t="shared" si="17"/>
        <v>550000</v>
      </c>
      <c r="G272">
        <v>4642.5061799981686</v>
      </c>
      <c r="H272" s="9">
        <f t="shared" si="19"/>
        <v>232125.30899990842</v>
      </c>
      <c r="I272" s="9">
        <f t="shared" si="18"/>
        <v>-175024.56740012817</v>
      </c>
    </row>
    <row r="273" spans="3:9" x14ac:dyDescent="0.35">
      <c r="C273">
        <v>13220.435193945128</v>
      </c>
      <c r="D273" s="9">
        <f t="shared" si="16"/>
        <v>300000</v>
      </c>
      <c r="E273" s="9">
        <f t="shared" si="17"/>
        <v>425430.46357615897</v>
      </c>
      <c r="G273">
        <v>3003.3570360423596</v>
      </c>
      <c r="H273" s="9">
        <f t="shared" si="19"/>
        <v>150167.85180211798</v>
      </c>
      <c r="I273" s="9">
        <f t="shared" si="18"/>
        <v>-289765.00747703481</v>
      </c>
    </row>
    <row r="274" spans="3:9" x14ac:dyDescent="0.35">
      <c r="C274">
        <v>13148.258919034393</v>
      </c>
      <c r="D274" s="9">
        <f t="shared" si="16"/>
        <v>300000</v>
      </c>
      <c r="E274" s="9">
        <f t="shared" si="17"/>
        <v>420378.12433240749</v>
      </c>
      <c r="G274">
        <v>3148.3199560533462</v>
      </c>
      <c r="H274" s="9">
        <f t="shared" si="19"/>
        <v>157415.99780266732</v>
      </c>
      <c r="I274" s="9">
        <f t="shared" si="18"/>
        <v>-279617.60307626578</v>
      </c>
    </row>
    <row r="275" spans="3:9" x14ac:dyDescent="0.35">
      <c r="C275">
        <v>14401.959288308359</v>
      </c>
      <c r="D275" s="9">
        <f t="shared" si="16"/>
        <v>300000</v>
      </c>
      <c r="E275" s="9">
        <f t="shared" si="17"/>
        <v>508137.15018158511</v>
      </c>
      <c r="G275">
        <v>3726.9508957182534</v>
      </c>
      <c r="H275" s="9">
        <f t="shared" si="19"/>
        <v>186347.54478591267</v>
      </c>
      <c r="I275" s="9">
        <f t="shared" si="18"/>
        <v>-239113.43729972225</v>
      </c>
    </row>
    <row r="276" spans="3:9" x14ac:dyDescent="0.35">
      <c r="C276">
        <v>15427.381206701864</v>
      </c>
      <c r="D276" s="9">
        <f t="shared" si="16"/>
        <v>300000</v>
      </c>
      <c r="E276" s="9">
        <f t="shared" si="17"/>
        <v>550000</v>
      </c>
      <c r="G276">
        <v>6359.7827082125314</v>
      </c>
      <c r="H276" s="9">
        <f t="shared" si="19"/>
        <v>300000</v>
      </c>
      <c r="I276" s="9">
        <f t="shared" si="18"/>
        <v>-54815.210425122816</v>
      </c>
    </row>
    <row r="277" spans="3:9" x14ac:dyDescent="0.35">
      <c r="C277">
        <v>16797.509689626757</v>
      </c>
      <c r="D277" s="9">
        <f t="shared" si="16"/>
        <v>300000</v>
      </c>
      <c r="E277" s="9">
        <f t="shared" si="17"/>
        <v>550000</v>
      </c>
      <c r="G277">
        <v>5627.185888241218</v>
      </c>
      <c r="H277" s="9">
        <f t="shared" si="19"/>
        <v>281359.29441206087</v>
      </c>
      <c r="I277" s="9">
        <f t="shared" si="18"/>
        <v>-106096.98782311473</v>
      </c>
    </row>
    <row r="278" spans="3:9" x14ac:dyDescent="0.35">
      <c r="C278">
        <v>15429.975280007326</v>
      </c>
      <c r="D278" s="9">
        <f t="shared" si="16"/>
        <v>300000</v>
      </c>
      <c r="E278" s="9">
        <f t="shared" si="17"/>
        <v>550000</v>
      </c>
      <c r="G278">
        <v>3014.9540696432387</v>
      </c>
      <c r="H278" s="9">
        <f t="shared" si="19"/>
        <v>150747.70348216195</v>
      </c>
      <c r="I278" s="9">
        <f t="shared" si="18"/>
        <v>-288953.21512497333</v>
      </c>
    </row>
    <row r="279" spans="3:9" x14ac:dyDescent="0.35">
      <c r="C279">
        <v>15559.678945280313</v>
      </c>
      <c r="D279" s="9">
        <f t="shared" si="16"/>
        <v>300000</v>
      </c>
      <c r="E279" s="9">
        <f t="shared" si="17"/>
        <v>550000</v>
      </c>
      <c r="G279">
        <v>7720.4504531998655</v>
      </c>
      <c r="H279" s="9">
        <f t="shared" si="19"/>
        <v>300000</v>
      </c>
      <c r="I279" s="9">
        <f t="shared" si="18"/>
        <v>40431.531723990571</v>
      </c>
    </row>
    <row r="280" spans="3:9" x14ac:dyDescent="0.35">
      <c r="C280">
        <v>16822.687459944456</v>
      </c>
      <c r="D280" s="9">
        <f t="shared" si="16"/>
        <v>300000</v>
      </c>
      <c r="E280" s="9">
        <f t="shared" si="17"/>
        <v>550000</v>
      </c>
      <c r="G280">
        <v>3179.9066133610036</v>
      </c>
      <c r="H280" s="9">
        <f t="shared" si="19"/>
        <v>158995.33066805018</v>
      </c>
      <c r="I280" s="9">
        <f t="shared" si="18"/>
        <v>-277406.53706472972</v>
      </c>
    </row>
    <row r="281" spans="3:9" x14ac:dyDescent="0.35">
      <c r="C281">
        <v>16376.354258857999</v>
      </c>
      <c r="D281" s="9">
        <f t="shared" si="16"/>
        <v>300000</v>
      </c>
      <c r="E281" s="9">
        <f t="shared" si="17"/>
        <v>550000</v>
      </c>
      <c r="G281">
        <v>5024.4453260902737</v>
      </c>
      <c r="H281" s="9">
        <f t="shared" si="19"/>
        <v>251222.26630451367</v>
      </c>
      <c r="I281" s="9">
        <f t="shared" si="18"/>
        <v>-148288.82717368082</v>
      </c>
    </row>
    <row r="282" spans="3:9" x14ac:dyDescent="0.35">
      <c r="C282">
        <v>15292.794579912717</v>
      </c>
      <c r="D282" s="9">
        <f t="shared" si="16"/>
        <v>300000</v>
      </c>
      <c r="E282" s="9">
        <f t="shared" si="17"/>
        <v>550000</v>
      </c>
      <c r="G282">
        <v>6469.0389721366009</v>
      </c>
      <c r="H282" s="9">
        <f t="shared" si="19"/>
        <v>300000</v>
      </c>
      <c r="I282" s="9">
        <f t="shared" si="18"/>
        <v>-47167.27195043792</v>
      </c>
    </row>
    <row r="283" spans="3:9" x14ac:dyDescent="0.35">
      <c r="C283">
        <v>15495.437482833338</v>
      </c>
      <c r="D283" s="9">
        <f t="shared" si="16"/>
        <v>300000</v>
      </c>
      <c r="E283" s="9">
        <f t="shared" si="17"/>
        <v>550000</v>
      </c>
      <c r="G283">
        <v>3758.2323679311503</v>
      </c>
      <c r="H283" s="9">
        <f t="shared" si="19"/>
        <v>187911.61839655752</v>
      </c>
      <c r="I283" s="9">
        <f t="shared" si="18"/>
        <v>-236923.7342448195</v>
      </c>
    </row>
    <row r="284" spans="3:9" x14ac:dyDescent="0.35">
      <c r="C284">
        <v>12476.241340372937</v>
      </c>
      <c r="D284" s="9">
        <f t="shared" si="16"/>
        <v>300000</v>
      </c>
      <c r="E284" s="9">
        <f t="shared" si="17"/>
        <v>373336.89382610563</v>
      </c>
      <c r="G284">
        <v>6853.5721915341655</v>
      </c>
      <c r="H284" s="9">
        <f t="shared" si="19"/>
        <v>300000</v>
      </c>
      <c r="I284" s="9">
        <f t="shared" si="18"/>
        <v>-20249.946592608409</v>
      </c>
    </row>
    <row r="285" spans="3:9" x14ac:dyDescent="0.35">
      <c r="C285">
        <v>15932.309945982237</v>
      </c>
      <c r="D285" s="9">
        <f t="shared" si="16"/>
        <v>300000</v>
      </c>
      <c r="E285" s="9">
        <f t="shared" si="17"/>
        <v>550000</v>
      </c>
      <c r="G285">
        <v>5683.6451307718125</v>
      </c>
      <c r="H285" s="9">
        <f t="shared" si="19"/>
        <v>284182.25653859065</v>
      </c>
      <c r="I285" s="9">
        <f t="shared" si="18"/>
        <v>-102144.84084597311</v>
      </c>
    </row>
    <row r="286" spans="3:9" x14ac:dyDescent="0.35">
      <c r="C286">
        <v>13372.264778588215</v>
      </c>
      <c r="D286" s="9">
        <f t="shared" si="16"/>
        <v>300000</v>
      </c>
      <c r="E286" s="9">
        <f t="shared" si="17"/>
        <v>436058.53450117505</v>
      </c>
      <c r="G286">
        <v>3329.2947172460099</v>
      </c>
      <c r="H286" s="9">
        <f t="shared" si="19"/>
        <v>166464.7358623005</v>
      </c>
      <c r="I286" s="9">
        <f t="shared" si="18"/>
        <v>-266949.36979277933</v>
      </c>
    </row>
    <row r="287" spans="3:9" x14ac:dyDescent="0.35">
      <c r="C287">
        <v>12118.717001861629</v>
      </c>
      <c r="D287" s="9">
        <f t="shared" si="16"/>
        <v>300000</v>
      </c>
      <c r="E287" s="9">
        <f t="shared" si="17"/>
        <v>348310.19013031397</v>
      </c>
      <c r="G287">
        <v>5032.0749534592733</v>
      </c>
      <c r="H287" s="9">
        <f t="shared" si="19"/>
        <v>251603.74767296365</v>
      </c>
      <c r="I287" s="9">
        <f t="shared" si="18"/>
        <v>-147754.75325785088</v>
      </c>
    </row>
    <row r="288" spans="3:9" x14ac:dyDescent="0.35">
      <c r="C288">
        <v>16709.463789788508</v>
      </c>
      <c r="D288" s="9">
        <f t="shared" si="16"/>
        <v>300000</v>
      </c>
      <c r="E288" s="9">
        <f t="shared" si="17"/>
        <v>550000</v>
      </c>
      <c r="G288">
        <v>7358.9587084566792</v>
      </c>
      <c r="H288" s="9">
        <f t="shared" si="19"/>
        <v>300000</v>
      </c>
      <c r="I288" s="9">
        <f t="shared" si="18"/>
        <v>15127.109591967543</v>
      </c>
    </row>
    <row r="289" spans="3:9" x14ac:dyDescent="0.35">
      <c r="C289">
        <v>15855.403302102724</v>
      </c>
      <c r="D289" s="9">
        <f t="shared" si="16"/>
        <v>300000</v>
      </c>
      <c r="E289" s="9">
        <f t="shared" si="17"/>
        <v>550000</v>
      </c>
      <c r="G289">
        <v>6508.8656270027768</v>
      </c>
      <c r="H289" s="9">
        <f t="shared" si="19"/>
        <v>300000</v>
      </c>
      <c r="I289" s="9">
        <f t="shared" si="18"/>
        <v>-44379.406109805626</v>
      </c>
    </row>
    <row r="290" spans="3:9" x14ac:dyDescent="0.35">
      <c r="C290">
        <v>15941.465498825037</v>
      </c>
      <c r="D290" s="9">
        <f t="shared" si="16"/>
        <v>300000</v>
      </c>
      <c r="E290" s="9">
        <f t="shared" si="17"/>
        <v>550000</v>
      </c>
      <c r="G290">
        <v>7862.6667073580129</v>
      </c>
      <c r="H290" s="9">
        <f t="shared" si="19"/>
        <v>300000</v>
      </c>
      <c r="I290" s="9">
        <f t="shared" si="18"/>
        <v>50386.669515060959</v>
      </c>
    </row>
    <row r="291" spans="3:9" x14ac:dyDescent="0.35">
      <c r="C291">
        <v>16780.266731772819</v>
      </c>
      <c r="D291" s="9">
        <f t="shared" si="16"/>
        <v>300000</v>
      </c>
      <c r="E291" s="9">
        <f t="shared" si="17"/>
        <v>550000</v>
      </c>
      <c r="G291">
        <v>3306.253242591632</v>
      </c>
      <c r="H291" s="9">
        <f t="shared" si="19"/>
        <v>165312.66212958159</v>
      </c>
      <c r="I291" s="9">
        <f t="shared" si="18"/>
        <v>-268562.27301858575</v>
      </c>
    </row>
    <row r="292" spans="3:9" x14ac:dyDescent="0.35">
      <c r="C292">
        <v>12465.102084414197</v>
      </c>
      <c r="D292" s="9">
        <f t="shared" si="16"/>
        <v>300000</v>
      </c>
      <c r="E292" s="9">
        <f t="shared" si="17"/>
        <v>372557.14590899379</v>
      </c>
      <c r="G292">
        <v>3213.9347514267401</v>
      </c>
      <c r="H292" s="9">
        <f t="shared" si="19"/>
        <v>160696.737571337</v>
      </c>
      <c r="I292" s="9">
        <f t="shared" si="18"/>
        <v>-275024.56740012823</v>
      </c>
    </row>
    <row r="293" spans="3:9" x14ac:dyDescent="0.35">
      <c r="C293">
        <v>13831.110568559832</v>
      </c>
      <c r="D293" s="9">
        <f t="shared" si="16"/>
        <v>300000</v>
      </c>
      <c r="E293" s="9">
        <f t="shared" si="17"/>
        <v>468177.73979918822</v>
      </c>
      <c r="G293">
        <v>3013.4281441694388</v>
      </c>
      <c r="H293" s="9">
        <f t="shared" si="19"/>
        <v>150671.40720847194</v>
      </c>
      <c r="I293" s="9">
        <f t="shared" si="18"/>
        <v>-289060.02990813926</v>
      </c>
    </row>
    <row r="294" spans="3:9" x14ac:dyDescent="0.35">
      <c r="C294">
        <v>12896.023438215278</v>
      </c>
      <c r="D294" s="9">
        <f t="shared" si="16"/>
        <v>300000</v>
      </c>
      <c r="E294" s="9">
        <f t="shared" si="17"/>
        <v>402721.64067506942</v>
      </c>
      <c r="G294">
        <v>7827.7230140079955</v>
      </c>
      <c r="H294" s="9">
        <f t="shared" si="19"/>
        <v>300000</v>
      </c>
      <c r="I294" s="9">
        <f t="shared" si="18"/>
        <v>47940.610980559723</v>
      </c>
    </row>
    <row r="295" spans="3:9" x14ac:dyDescent="0.35">
      <c r="C295">
        <v>13436.201055940428</v>
      </c>
      <c r="D295" s="9">
        <f t="shared" si="16"/>
        <v>300000</v>
      </c>
      <c r="E295" s="9">
        <f t="shared" si="17"/>
        <v>440534.07391583</v>
      </c>
      <c r="G295">
        <v>4905.1179540391249</v>
      </c>
      <c r="H295" s="9">
        <f t="shared" si="19"/>
        <v>245255.89770195624</v>
      </c>
      <c r="I295" s="9">
        <f t="shared" si="18"/>
        <v>-156641.74321726128</v>
      </c>
    </row>
    <row r="296" spans="3:9" x14ac:dyDescent="0.35">
      <c r="C296">
        <v>14438.428907132176</v>
      </c>
      <c r="D296" s="9">
        <f t="shared" si="16"/>
        <v>300000</v>
      </c>
      <c r="E296" s="9">
        <f t="shared" si="17"/>
        <v>510690.02349925239</v>
      </c>
      <c r="G296">
        <v>4140.1715140232554</v>
      </c>
      <c r="H296" s="9">
        <f t="shared" si="19"/>
        <v>207008.57570116277</v>
      </c>
      <c r="I296" s="9">
        <f t="shared" si="18"/>
        <v>-210187.99401837215</v>
      </c>
    </row>
    <row r="297" spans="3:9" x14ac:dyDescent="0.35">
      <c r="C297">
        <v>13580.248420667134</v>
      </c>
      <c r="D297" s="9">
        <f t="shared" si="16"/>
        <v>300000</v>
      </c>
      <c r="E297" s="9">
        <f t="shared" si="17"/>
        <v>450617.38944669941</v>
      </c>
      <c r="G297">
        <v>7452.6505325479902</v>
      </c>
      <c r="H297" s="9">
        <f t="shared" si="19"/>
        <v>300000</v>
      </c>
      <c r="I297" s="9">
        <f t="shared" si="18"/>
        <v>21685.53727835929</v>
      </c>
    </row>
    <row r="298" spans="3:9" x14ac:dyDescent="0.35">
      <c r="C298">
        <v>12158.238471633045</v>
      </c>
      <c r="D298" s="9">
        <f t="shared" si="16"/>
        <v>300000</v>
      </c>
      <c r="E298" s="9">
        <f t="shared" si="17"/>
        <v>351076.69301431312</v>
      </c>
      <c r="G298">
        <v>4704.7639393292029</v>
      </c>
      <c r="H298" s="9">
        <f t="shared" si="19"/>
        <v>235238.19696646015</v>
      </c>
      <c r="I298" s="9">
        <f t="shared" si="18"/>
        <v>-170666.52424695581</v>
      </c>
    </row>
    <row r="299" spans="3:9" x14ac:dyDescent="0.35">
      <c r="C299">
        <v>13567.735831781976</v>
      </c>
      <c r="D299" s="9">
        <f t="shared" si="16"/>
        <v>300000</v>
      </c>
      <c r="E299" s="9">
        <f t="shared" si="17"/>
        <v>449741.5082247383</v>
      </c>
      <c r="G299">
        <v>3154.5762504959257</v>
      </c>
      <c r="H299" s="9">
        <f t="shared" si="19"/>
        <v>157728.81252479629</v>
      </c>
      <c r="I299" s="9">
        <f t="shared" si="18"/>
        <v>-279179.66246528516</v>
      </c>
    </row>
    <row r="300" spans="3:9" x14ac:dyDescent="0.35">
      <c r="C300">
        <v>14947.630237739189</v>
      </c>
      <c r="D300" s="9">
        <f t="shared" si="16"/>
        <v>300000</v>
      </c>
      <c r="E300" s="9">
        <f t="shared" si="17"/>
        <v>546334.11664174323</v>
      </c>
      <c r="G300">
        <v>4360.667744987335</v>
      </c>
      <c r="H300" s="9">
        <f t="shared" si="19"/>
        <v>218033.38724936676</v>
      </c>
      <c r="I300" s="9">
        <f t="shared" si="18"/>
        <v>-194753.25785088656</v>
      </c>
    </row>
    <row r="301" spans="3:9" x14ac:dyDescent="0.35">
      <c r="C301">
        <v>15367.870113223669</v>
      </c>
      <c r="D301" s="9">
        <f t="shared" si="16"/>
        <v>300000</v>
      </c>
      <c r="E301" s="9">
        <f t="shared" si="17"/>
        <v>550000</v>
      </c>
      <c r="G301">
        <v>7050.4165776543468</v>
      </c>
      <c r="H301" s="9">
        <f t="shared" si="19"/>
        <v>300000</v>
      </c>
      <c r="I301" s="9">
        <f t="shared" si="18"/>
        <v>-6470.8395641957177</v>
      </c>
    </row>
    <row r="302" spans="3:9" x14ac:dyDescent="0.35">
      <c r="C302">
        <v>13775.566881313516</v>
      </c>
      <c r="D302" s="9">
        <f t="shared" si="16"/>
        <v>300000</v>
      </c>
      <c r="E302" s="9">
        <f t="shared" si="17"/>
        <v>464289.68169194611</v>
      </c>
      <c r="G302">
        <v>4635.1817377239295</v>
      </c>
      <c r="H302" s="9">
        <f t="shared" si="19"/>
        <v>231759.08688619648</v>
      </c>
      <c r="I302" s="9">
        <f t="shared" si="18"/>
        <v>-175537.27835932496</v>
      </c>
    </row>
    <row r="303" spans="3:9" x14ac:dyDescent="0.35">
      <c r="C303">
        <v>12005.188146610919</v>
      </c>
      <c r="D303" s="9">
        <f t="shared" si="16"/>
        <v>300000</v>
      </c>
      <c r="E303" s="9">
        <f t="shared" si="17"/>
        <v>340363.17026276432</v>
      </c>
      <c r="G303">
        <v>3685.9035004730367</v>
      </c>
      <c r="H303" s="9">
        <f t="shared" si="19"/>
        <v>184295.17502365183</v>
      </c>
      <c r="I303" s="9">
        <f t="shared" si="18"/>
        <v>-241986.75496688744</v>
      </c>
    </row>
    <row r="304" spans="3:9" x14ac:dyDescent="0.35">
      <c r="C304">
        <v>12081.331827753533</v>
      </c>
      <c r="D304" s="9">
        <f t="shared" si="16"/>
        <v>300000</v>
      </c>
      <c r="E304" s="9">
        <f t="shared" si="17"/>
        <v>345693.2279427473</v>
      </c>
      <c r="G304">
        <v>7316.3853877376632</v>
      </c>
      <c r="H304" s="9">
        <f t="shared" si="19"/>
        <v>300000</v>
      </c>
      <c r="I304" s="9">
        <f t="shared" si="18"/>
        <v>12146.977141636424</v>
      </c>
    </row>
    <row r="305" spans="3:9" x14ac:dyDescent="0.35">
      <c r="C305">
        <v>14684.713278603473</v>
      </c>
      <c r="D305" s="9">
        <f t="shared" si="16"/>
        <v>300000</v>
      </c>
      <c r="E305" s="9">
        <f t="shared" si="17"/>
        <v>527929.92950224306</v>
      </c>
      <c r="G305">
        <v>7981.3837092196418</v>
      </c>
      <c r="H305" s="9">
        <f t="shared" si="19"/>
        <v>300000</v>
      </c>
      <c r="I305" s="9">
        <f t="shared" si="18"/>
        <v>58696.859645374934</v>
      </c>
    </row>
    <row r="306" spans="3:9" x14ac:dyDescent="0.35">
      <c r="C306">
        <v>14499.465926084169</v>
      </c>
      <c r="D306" s="9">
        <f t="shared" si="16"/>
        <v>300000</v>
      </c>
      <c r="E306" s="9">
        <f t="shared" si="17"/>
        <v>514962.6148258918</v>
      </c>
      <c r="G306">
        <v>7106.2654499954224</v>
      </c>
      <c r="H306" s="9">
        <f t="shared" si="19"/>
        <v>300000</v>
      </c>
      <c r="I306" s="9">
        <f t="shared" si="18"/>
        <v>-2561.4185003204038</v>
      </c>
    </row>
    <row r="307" spans="3:9" x14ac:dyDescent="0.35">
      <c r="C307">
        <v>16319.132053590503</v>
      </c>
      <c r="D307" s="9">
        <f t="shared" si="16"/>
        <v>300000</v>
      </c>
      <c r="E307" s="9">
        <f t="shared" si="17"/>
        <v>550000</v>
      </c>
      <c r="G307">
        <v>6506.5767387920778</v>
      </c>
      <c r="H307" s="9">
        <f t="shared" si="19"/>
        <v>300000</v>
      </c>
      <c r="I307" s="9">
        <f t="shared" si="18"/>
        <v>-44539.628284554579</v>
      </c>
    </row>
    <row r="308" spans="3:9" x14ac:dyDescent="0.35">
      <c r="C308">
        <v>12153.965880306407</v>
      </c>
      <c r="D308" s="9">
        <f t="shared" si="16"/>
        <v>300000</v>
      </c>
      <c r="E308" s="9">
        <f t="shared" si="17"/>
        <v>350777.61162144842</v>
      </c>
      <c r="G308">
        <v>5077.5475325785092</v>
      </c>
      <c r="H308" s="9">
        <f t="shared" si="19"/>
        <v>253877.37662892547</v>
      </c>
      <c r="I308" s="9">
        <f t="shared" si="18"/>
        <v>-144571.67271950433</v>
      </c>
    </row>
    <row r="309" spans="3:9" x14ac:dyDescent="0.35">
      <c r="C309">
        <v>13011.078218939787</v>
      </c>
      <c r="D309" s="9">
        <f t="shared" si="16"/>
        <v>300000</v>
      </c>
      <c r="E309" s="9">
        <f t="shared" si="17"/>
        <v>410775.47532578511</v>
      </c>
      <c r="G309">
        <v>5257.7593310342727</v>
      </c>
      <c r="H309" s="9">
        <f t="shared" si="19"/>
        <v>262887.96655171365</v>
      </c>
      <c r="I309" s="9">
        <f t="shared" si="18"/>
        <v>-131956.84682760091</v>
      </c>
    </row>
    <row r="310" spans="3:9" x14ac:dyDescent="0.35">
      <c r="C310">
        <v>16123.050630207221</v>
      </c>
      <c r="D310" s="9">
        <f t="shared" si="16"/>
        <v>300000</v>
      </c>
      <c r="E310" s="9">
        <f t="shared" si="17"/>
        <v>550000</v>
      </c>
      <c r="G310">
        <v>5911.3132114627515</v>
      </c>
      <c r="H310" s="9">
        <f t="shared" si="19"/>
        <v>295565.66057313757</v>
      </c>
      <c r="I310" s="9">
        <f t="shared" si="18"/>
        <v>-86208.075197607395</v>
      </c>
    </row>
    <row r="311" spans="3:9" x14ac:dyDescent="0.35">
      <c r="C311">
        <v>14931.15024262215</v>
      </c>
      <c r="D311" s="9">
        <f t="shared" si="16"/>
        <v>300000</v>
      </c>
      <c r="E311" s="9">
        <f t="shared" si="17"/>
        <v>545180.51698355051</v>
      </c>
      <c r="G311">
        <v>6244.5753349406414</v>
      </c>
      <c r="H311" s="9">
        <f t="shared" si="19"/>
        <v>300000</v>
      </c>
      <c r="I311" s="9">
        <f t="shared" si="18"/>
        <v>-62879.726554155117</v>
      </c>
    </row>
    <row r="312" spans="3:9" x14ac:dyDescent="0.35">
      <c r="C312">
        <v>15997.161778618733</v>
      </c>
      <c r="D312" s="9">
        <f t="shared" si="16"/>
        <v>300000</v>
      </c>
      <c r="E312" s="9">
        <f t="shared" si="17"/>
        <v>550000</v>
      </c>
      <c r="G312">
        <v>3234.5347453230384</v>
      </c>
      <c r="H312" s="9">
        <f t="shared" si="19"/>
        <v>161726.7372661519</v>
      </c>
      <c r="I312" s="9">
        <f t="shared" si="18"/>
        <v>-273582.56782738731</v>
      </c>
    </row>
    <row r="313" spans="3:9" x14ac:dyDescent="0.35">
      <c r="C313">
        <v>12064.088869899595</v>
      </c>
      <c r="D313" s="9">
        <f t="shared" si="16"/>
        <v>300000</v>
      </c>
      <c r="E313" s="9">
        <f t="shared" si="17"/>
        <v>344486.22089297161</v>
      </c>
      <c r="G313">
        <v>6183.0805383465067</v>
      </c>
      <c r="H313" s="9">
        <f t="shared" si="19"/>
        <v>300000</v>
      </c>
      <c r="I313" s="9">
        <f t="shared" si="18"/>
        <v>-67184.362315744511</v>
      </c>
    </row>
    <row r="314" spans="3:9" x14ac:dyDescent="0.35">
      <c r="C314">
        <v>13360.362559892576</v>
      </c>
      <c r="D314" s="9">
        <f t="shared" si="16"/>
        <v>300000</v>
      </c>
      <c r="E314" s="9">
        <f t="shared" si="17"/>
        <v>435225.37919248024</v>
      </c>
      <c r="G314">
        <v>4416.3640247810299</v>
      </c>
      <c r="H314" s="9">
        <f t="shared" si="19"/>
        <v>220818.2012390515</v>
      </c>
      <c r="I314" s="9">
        <f t="shared" si="18"/>
        <v>-190854.5182653279</v>
      </c>
    </row>
    <row r="315" spans="3:9" x14ac:dyDescent="0.35">
      <c r="C315">
        <v>16601.886043885617</v>
      </c>
      <c r="D315" s="9">
        <f t="shared" si="16"/>
        <v>300000</v>
      </c>
      <c r="E315" s="9">
        <f t="shared" si="17"/>
        <v>550000</v>
      </c>
      <c r="G315">
        <v>4473.7388225959039</v>
      </c>
      <c r="H315" s="9">
        <f t="shared" si="19"/>
        <v>223686.94112979519</v>
      </c>
      <c r="I315" s="9">
        <f t="shared" si="18"/>
        <v>-186838.28241828672</v>
      </c>
    </row>
    <row r="316" spans="3:9" x14ac:dyDescent="0.35">
      <c r="C316">
        <v>16120.303964354382</v>
      </c>
      <c r="D316" s="9">
        <f t="shared" si="16"/>
        <v>300000</v>
      </c>
      <c r="E316" s="9">
        <f t="shared" si="17"/>
        <v>550000</v>
      </c>
      <c r="G316">
        <v>4548.8143559068576</v>
      </c>
      <c r="H316" s="9">
        <f t="shared" si="19"/>
        <v>227440.71779534288</v>
      </c>
      <c r="I316" s="9">
        <f t="shared" si="18"/>
        <v>-181582.99508651998</v>
      </c>
    </row>
    <row r="317" spans="3:9" x14ac:dyDescent="0.35">
      <c r="C317">
        <v>15439.741203039644</v>
      </c>
      <c r="D317" s="9">
        <f t="shared" si="16"/>
        <v>300000</v>
      </c>
      <c r="E317" s="9">
        <f t="shared" si="17"/>
        <v>550000</v>
      </c>
      <c r="G317">
        <v>7524.826807458724</v>
      </c>
      <c r="H317" s="9">
        <f t="shared" si="19"/>
        <v>300000</v>
      </c>
      <c r="I317" s="9">
        <f t="shared" si="18"/>
        <v>26737.876522110659</v>
      </c>
    </row>
    <row r="318" spans="3:9" x14ac:dyDescent="0.35">
      <c r="C318">
        <v>14547.837763603626</v>
      </c>
      <c r="D318" s="9">
        <f t="shared" si="16"/>
        <v>300000</v>
      </c>
      <c r="E318" s="9">
        <f t="shared" si="17"/>
        <v>518348.64345225377</v>
      </c>
      <c r="G318">
        <v>4665.2424695577865</v>
      </c>
      <c r="H318" s="9">
        <f t="shared" si="19"/>
        <v>233262.12347788934</v>
      </c>
      <c r="I318" s="9">
        <f t="shared" si="18"/>
        <v>-173433.02713095496</v>
      </c>
    </row>
    <row r="319" spans="3:9" x14ac:dyDescent="0.35">
      <c r="C319">
        <v>16451.73497726371</v>
      </c>
      <c r="D319" s="9">
        <f t="shared" si="16"/>
        <v>300000</v>
      </c>
      <c r="E319" s="9">
        <f t="shared" si="17"/>
        <v>550000</v>
      </c>
      <c r="G319">
        <v>5525.2540665913875</v>
      </c>
      <c r="H319" s="9">
        <f t="shared" si="19"/>
        <v>276262.70332956937</v>
      </c>
      <c r="I319" s="9">
        <f t="shared" si="18"/>
        <v>-113232.21533860289</v>
      </c>
    </row>
    <row r="320" spans="3:9" x14ac:dyDescent="0.35">
      <c r="C320">
        <v>14273.781548509171</v>
      </c>
      <c r="D320" s="9">
        <f t="shared" si="16"/>
        <v>300000</v>
      </c>
      <c r="E320" s="9">
        <f t="shared" si="17"/>
        <v>499164.708395642</v>
      </c>
      <c r="G320">
        <v>7143.8032166508983</v>
      </c>
      <c r="H320" s="9">
        <f t="shared" si="19"/>
        <v>300000</v>
      </c>
      <c r="I320" s="9">
        <f t="shared" si="18"/>
        <v>66.225165562878828</v>
      </c>
    </row>
    <row r="321" spans="3:9" x14ac:dyDescent="0.35">
      <c r="C321">
        <v>14051.911984618671</v>
      </c>
      <c r="D321" s="9">
        <f t="shared" si="16"/>
        <v>300000</v>
      </c>
      <c r="E321" s="9">
        <f t="shared" si="17"/>
        <v>483633.83892330702</v>
      </c>
      <c r="G321">
        <v>4064.943388164922</v>
      </c>
      <c r="H321" s="9">
        <f t="shared" si="19"/>
        <v>203247.16940824609</v>
      </c>
      <c r="I321" s="9">
        <f t="shared" si="18"/>
        <v>-215453.96282845543</v>
      </c>
    </row>
    <row r="322" spans="3:9" x14ac:dyDescent="0.35">
      <c r="C322">
        <v>15948.637348551896</v>
      </c>
      <c r="D322" s="9">
        <f t="shared" si="16"/>
        <v>300000</v>
      </c>
      <c r="E322" s="9">
        <f t="shared" si="17"/>
        <v>550000</v>
      </c>
      <c r="G322">
        <v>7352.5498214667195</v>
      </c>
      <c r="H322" s="9">
        <f t="shared" si="19"/>
        <v>300000</v>
      </c>
      <c r="I322" s="9">
        <f t="shared" si="18"/>
        <v>14678.487502670381</v>
      </c>
    </row>
    <row r="323" spans="3:9" x14ac:dyDescent="0.35">
      <c r="C323">
        <v>16172.032837916197</v>
      </c>
      <c r="D323" s="9">
        <f t="shared" si="16"/>
        <v>300000</v>
      </c>
      <c r="E323" s="9">
        <f t="shared" si="17"/>
        <v>550000</v>
      </c>
      <c r="G323">
        <v>4689.9624622333449</v>
      </c>
      <c r="H323" s="9">
        <f t="shared" si="19"/>
        <v>234498.12311166726</v>
      </c>
      <c r="I323" s="9">
        <f t="shared" si="18"/>
        <v>-171702.62764366588</v>
      </c>
    </row>
    <row r="324" spans="3:9" x14ac:dyDescent="0.35">
      <c r="C324">
        <v>16441.053498947113</v>
      </c>
      <c r="D324" s="9">
        <f t="shared" si="16"/>
        <v>300000</v>
      </c>
      <c r="E324" s="9">
        <f t="shared" si="17"/>
        <v>550000</v>
      </c>
      <c r="G324">
        <v>5518.9977721488085</v>
      </c>
      <c r="H324" s="9">
        <f t="shared" si="19"/>
        <v>275949.8886074404</v>
      </c>
      <c r="I324" s="9">
        <f t="shared" si="18"/>
        <v>-113670.15594958339</v>
      </c>
    </row>
    <row r="325" spans="3:9" x14ac:dyDescent="0.35">
      <c r="C325">
        <v>14278.969695120089</v>
      </c>
      <c r="D325" s="9">
        <f t="shared" si="16"/>
        <v>300000</v>
      </c>
      <c r="E325" s="9">
        <f t="shared" si="17"/>
        <v>499527.8786584062</v>
      </c>
      <c r="G325">
        <v>3684.3775749992369</v>
      </c>
      <c r="H325" s="9">
        <f t="shared" si="19"/>
        <v>184218.87874996185</v>
      </c>
      <c r="I325" s="9">
        <f t="shared" si="18"/>
        <v>-242093.56975005343</v>
      </c>
    </row>
    <row r="326" spans="3:9" x14ac:dyDescent="0.35">
      <c r="C326">
        <v>12942.411572618794</v>
      </c>
      <c r="D326" s="9">
        <f t="shared" si="16"/>
        <v>300000</v>
      </c>
      <c r="E326" s="9">
        <f t="shared" si="17"/>
        <v>405968.81008331559</v>
      </c>
      <c r="G326">
        <v>7198.2787560655534</v>
      </c>
      <c r="H326" s="9">
        <f t="shared" si="19"/>
        <v>300000</v>
      </c>
      <c r="I326" s="9">
        <f t="shared" si="18"/>
        <v>3879.512924588751</v>
      </c>
    </row>
    <row r="327" spans="3:9" x14ac:dyDescent="0.35">
      <c r="C327">
        <v>13580.706198309275</v>
      </c>
      <c r="D327" s="9">
        <f t="shared" si="16"/>
        <v>300000</v>
      </c>
      <c r="E327" s="9">
        <f t="shared" si="17"/>
        <v>450649.43388164928</v>
      </c>
      <c r="G327">
        <v>5222.5104525894958</v>
      </c>
      <c r="H327" s="9">
        <f t="shared" si="19"/>
        <v>261125.52262947478</v>
      </c>
      <c r="I327" s="9">
        <f t="shared" si="18"/>
        <v>-134424.2683187353</v>
      </c>
    </row>
    <row r="328" spans="3:9" x14ac:dyDescent="0.35">
      <c r="C328">
        <v>14795.037690359202</v>
      </c>
      <c r="D328" s="9">
        <f t="shared" si="16"/>
        <v>300000</v>
      </c>
      <c r="E328" s="9">
        <f t="shared" si="17"/>
        <v>535652.63832514419</v>
      </c>
      <c r="G328">
        <v>5167.5771355327006</v>
      </c>
      <c r="H328" s="9">
        <f t="shared" si="19"/>
        <v>258378.85677663502</v>
      </c>
      <c r="I328" s="9">
        <f t="shared" si="18"/>
        <v>-138269.60051271098</v>
      </c>
    </row>
    <row r="329" spans="3:9" x14ac:dyDescent="0.35">
      <c r="C329">
        <v>15219.397564622945</v>
      </c>
      <c r="D329" s="9">
        <f t="shared" si="16"/>
        <v>300000</v>
      </c>
      <c r="E329" s="9">
        <f t="shared" si="17"/>
        <v>550000</v>
      </c>
      <c r="G329">
        <v>6635.0596636860255</v>
      </c>
      <c r="H329" s="9">
        <f t="shared" si="19"/>
        <v>300000</v>
      </c>
      <c r="I329" s="9">
        <f t="shared" si="18"/>
        <v>-35545.8235419782</v>
      </c>
    </row>
    <row r="330" spans="3:9" x14ac:dyDescent="0.35">
      <c r="C330">
        <v>13881.466109195228</v>
      </c>
      <c r="D330" s="9">
        <f t="shared" si="16"/>
        <v>300000</v>
      </c>
      <c r="E330" s="9">
        <f t="shared" si="17"/>
        <v>471702.62764366588</v>
      </c>
      <c r="G330">
        <v>5753.3799249244666</v>
      </c>
      <c r="H330" s="9">
        <f t="shared" si="19"/>
        <v>287668.99624622334</v>
      </c>
      <c r="I330" s="9">
        <f t="shared" si="18"/>
        <v>-97263.405255287362</v>
      </c>
    </row>
    <row r="331" spans="3:9" x14ac:dyDescent="0.35">
      <c r="C331">
        <v>14181.310464796899</v>
      </c>
      <c r="D331" s="9">
        <f t="shared" si="16"/>
        <v>300000</v>
      </c>
      <c r="E331" s="9">
        <f t="shared" si="17"/>
        <v>492691.73253578297</v>
      </c>
      <c r="G331">
        <v>3048.0666524246958</v>
      </c>
      <c r="H331" s="9">
        <f t="shared" si="19"/>
        <v>152403.33262123479</v>
      </c>
      <c r="I331" s="9">
        <f t="shared" si="18"/>
        <v>-286635.33433027129</v>
      </c>
    </row>
    <row r="332" spans="3:9" x14ac:dyDescent="0.35">
      <c r="C332">
        <v>13648.915066988127</v>
      </c>
      <c r="D332" s="9">
        <f t="shared" ref="D332:D395" si="20">50*MIN(C332,6000)</f>
        <v>300000</v>
      </c>
      <c r="E332" s="9">
        <f t="shared" ref="E332:E395" si="21">70*MIN(C332,15000)-500000</f>
        <v>455424.05468916893</v>
      </c>
      <c r="G332">
        <v>4077.7611621448409</v>
      </c>
      <c r="H332" s="9">
        <f t="shared" si="19"/>
        <v>203888.05810724205</v>
      </c>
      <c r="I332" s="9">
        <f t="shared" ref="I332:I395" si="22">70*MIN(G332,15000)-500000</f>
        <v>-214556.71864986111</v>
      </c>
    </row>
    <row r="333" spans="3:9" x14ac:dyDescent="0.35">
      <c r="C333">
        <v>13965.39201025422</v>
      </c>
      <c r="D333" s="9">
        <f t="shared" si="20"/>
        <v>300000</v>
      </c>
      <c r="E333" s="9">
        <f t="shared" si="21"/>
        <v>477577.4407177954</v>
      </c>
      <c r="G333">
        <v>4159.0929898983732</v>
      </c>
      <c r="H333" s="9">
        <f t="shared" ref="H333:H396" si="23">50*MIN(G333,6000)</f>
        <v>207954.64949491865</v>
      </c>
      <c r="I333" s="9">
        <f t="shared" si="22"/>
        <v>-208863.49070711387</v>
      </c>
    </row>
    <row r="334" spans="3:9" x14ac:dyDescent="0.35">
      <c r="C334">
        <v>14892.391735587633</v>
      </c>
      <c r="D334" s="9">
        <f t="shared" si="20"/>
        <v>300000</v>
      </c>
      <c r="E334" s="9">
        <f t="shared" si="21"/>
        <v>542467.42149113433</v>
      </c>
      <c r="G334">
        <v>6169.1946165349282</v>
      </c>
      <c r="H334" s="9">
        <f t="shared" si="23"/>
        <v>300000</v>
      </c>
      <c r="I334" s="9">
        <f t="shared" si="22"/>
        <v>-68156.376842555008</v>
      </c>
    </row>
    <row r="335" spans="3:9" x14ac:dyDescent="0.35">
      <c r="C335">
        <v>14878.505813776055</v>
      </c>
      <c r="D335" s="9">
        <f t="shared" si="20"/>
        <v>300000</v>
      </c>
      <c r="E335" s="9">
        <f t="shared" si="21"/>
        <v>541495.40696432383</v>
      </c>
      <c r="G335">
        <v>5581.7133091219821</v>
      </c>
      <c r="H335" s="9">
        <f t="shared" si="23"/>
        <v>279085.66545609909</v>
      </c>
      <c r="I335" s="9">
        <f t="shared" si="22"/>
        <v>-109280.06836146128</v>
      </c>
    </row>
    <row r="336" spans="3:9" x14ac:dyDescent="0.35">
      <c r="C336">
        <v>13931.516464735862</v>
      </c>
      <c r="D336" s="9">
        <f t="shared" si="20"/>
        <v>300000</v>
      </c>
      <c r="E336" s="9">
        <f t="shared" si="21"/>
        <v>475206.15253151034</v>
      </c>
      <c r="G336">
        <v>6901.7914365062406</v>
      </c>
      <c r="H336" s="9">
        <f t="shared" si="23"/>
        <v>300000</v>
      </c>
      <c r="I336" s="9">
        <f t="shared" si="22"/>
        <v>-16874.599444563151</v>
      </c>
    </row>
    <row r="337" spans="3:9" x14ac:dyDescent="0.35">
      <c r="C337">
        <v>15302.255317850277</v>
      </c>
      <c r="D337" s="9">
        <f t="shared" si="20"/>
        <v>300000</v>
      </c>
      <c r="E337" s="9">
        <f t="shared" si="21"/>
        <v>550000</v>
      </c>
      <c r="G337">
        <v>4109.5004119998775</v>
      </c>
      <c r="H337" s="9">
        <f t="shared" si="23"/>
        <v>205475.02059999388</v>
      </c>
      <c r="I337" s="9">
        <f t="shared" si="22"/>
        <v>-212334.97116000857</v>
      </c>
    </row>
    <row r="338" spans="3:9" x14ac:dyDescent="0.35">
      <c r="C338">
        <v>16408.856471449933</v>
      </c>
      <c r="D338" s="9">
        <f t="shared" si="20"/>
        <v>300000</v>
      </c>
      <c r="E338" s="9">
        <f t="shared" si="21"/>
        <v>550000</v>
      </c>
      <c r="G338">
        <v>6958.861049226356</v>
      </c>
      <c r="H338" s="9">
        <f t="shared" si="23"/>
        <v>300000</v>
      </c>
      <c r="I338" s="9">
        <f t="shared" si="22"/>
        <v>-12879.726554155059</v>
      </c>
    </row>
    <row r="339" spans="3:9" x14ac:dyDescent="0.35">
      <c r="C339">
        <v>12509.353923154393</v>
      </c>
      <c r="D339" s="9">
        <f t="shared" si="20"/>
        <v>300000</v>
      </c>
      <c r="E339" s="9">
        <f t="shared" si="21"/>
        <v>375654.7746208075</v>
      </c>
      <c r="G339">
        <v>3564.7450178533281</v>
      </c>
      <c r="H339" s="9">
        <f t="shared" si="23"/>
        <v>178237.2508926664</v>
      </c>
      <c r="I339" s="9">
        <f t="shared" si="22"/>
        <v>-250467.84875026703</v>
      </c>
    </row>
    <row r="340" spans="3:9" x14ac:dyDescent="0.35">
      <c r="C340">
        <v>13219.367046113468</v>
      </c>
      <c r="D340" s="9">
        <f t="shared" si="20"/>
        <v>300000</v>
      </c>
      <c r="E340" s="9">
        <f t="shared" si="21"/>
        <v>425355.6932279428</v>
      </c>
      <c r="G340">
        <v>5070.3756828516489</v>
      </c>
      <c r="H340" s="9">
        <f t="shared" si="23"/>
        <v>253518.78414258244</v>
      </c>
      <c r="I340" s="9">
        <f t="shared" si="22"/>
        <v>-145073.70220038458</v>
      </c>
    </row>
    <row r="341" spans="3:9" x14ac:dyDescent="0.35">
      <c r="C341">
        <v>14734.458449049349</v>
      </c>
      <c r="D341" s="9">
        <f t="shared" si="20"/>
        <v>300000</v>
      </c>
      <c r="E341" s="9">
        <f t="shared" si="21"/>
        <v>531412.09143345442</v>
      </c>
      <c r="G341">
        <v>3729.3923764763331</v>
      </c>
      <c r="H341" s="9">
        <f t="shared" si="23"/>
        <v>186469.61882381665</v>
      </c>
      <c r="I341" s="9">
        <f t="shared" si="22"/>
        <v>-238942.5336466567</v>
      </c>
    </row>
    <row r="342" spans="3:9" x14ac:dyDescent="0.35">
      <c r="C342">
        <v>14711.264381847592</v>
      </c>
      <c r="D342" s="9">
        <f t="shared" si="20"/>
        <v>300000</v>
      </c>
      <c r="E342" s="9">
        <f t="shared" si="21"/>
        <v>529788.50672933145</v>
      </c>
      <c r="G342">
        <v>4286.6603595080414</v>
      </c>
      <c r="H342" s="9">
        <f t="shared" si="23"/>
        <v>214333.01797540206</v>
      </c>
      <c r="I342" s="9">
        <f t="shared" si="22"/>
        <v>-199933.77483443712</v>
      </c>
    </row>
    <row r="343" spans="3:9" x14ac:dyDescent="0.35">
      <c r="C343">
        <v>12345.469527268287</v>
      </c>
      <c r="D343" s="9">
        <f t="shared" si="20"/>
        <v>300000</v>
      </c>
      <c r="E343" s="9">
        <f t="shared" si="21"/>
        <v>364182.86690878007</v>
      </c>
      <c r="G343">
        <v>7325.2357554857017</v>
      </c>
      <c r="H343" s="9">
        <f t="shared" si="23"/>
        <v>300000</v>
      </c>
      <c r="I343" s="9">
        <f t="shared" si="22"/>
        <v>12766.502883999143</v>
      </c>
    </row>
    <row r="344" spans="3:9" x14ac:dyDescent="0.35">
      <c r="C344">
        <v>15857.539597766045</v>
      </c>
      <c r="D344" s="9">
        <f t="shared" si="20"/>
        <v>300000</v>
      </c>
      <c r="E344" s="9">
        <f t="shared" si="21"/>
        <v>550000</v>
      </c>
      <c r="G344">
        <v>3637.2264778588215</v>
      </c>
      <c r="H344" s="9">
        <f t="shared" si="23"/>
        <v>181861.32389294106</v>
      </c>
      <c r="I344" s="9">
        <f t="shared" si="22"/>
        <v>-245394.14654988248</v>
      </c>
    </row>
    <row r="345" spans="3:9" x14ac:dyDescent="0.35">
      <c r="C345">
        <v>16251.380962553789</v>
      </c>
      <c r="D345" s="9">
        <f t="shared" si="20"/>
        <v>300000</v>
      </c>
      <c r="E345" s="9">
        <f t="shared" si="21"/>
        <v>550000</v>
      </c>
      <c r="G345">
        <v>7244.9720755638291</v>
      </c>
      <c r="H345" s="9">
        <f t="shared" si="23"/>
        <v>300000</v>
      </c>
      <c r="I345" s="9">
        <f t="shared" si="22"/>
        <v>7148.0452894680202</v>
      </c>
    </row>
    <row r="346" spans="3:9" x14ac:dyDescent="0.35">
      <c r="C346">
        <v>14260.505996887112</v>
      </c>
      <c r="D346" s="9">
        <f t="shared" si="20"/>
        <v>300000</v>
      </c>
      <c r="E346" s="9">
        <f t="shared" si="21"/>
        <v>498235.4197820978</v>
      </c>
      <c r="G346">
        <v>4812.7994628742335</v>
      </c>
      <c r="H346" s="9">
        <f t="shared" si="23"/>
        <v>240639.97314371169</v>
      </c>
      <c r="I346" s="9">
        <f t="shared" si="22"/>
        <v>-163104.03759880364</v>
      </c>
    </row>
    <row r="347" spans="3:9" x14ac:dyDescent="0.35">
      <c r="C347">
        <v>14220.374156926177</v>
      </c>
      <c r="D347" s="9">
        <f t="shared" si="20"/>
        <v>300000</v>
      </c>
      <c r="E347" s="9">
        <f t="shared" si="21"/>
        <v>495426.19098483236</v>
      </c>
      <c r="G347">
        <v>6367.8701132236693</v>
      </c>
      <c r="H347" s="9">
        <f t="shared" si="23"/>
        <v>300000</v>
      </c>
      <c r="I347" s="9">
        <f t="shared" si="22"/>
        <v>-54249.092074343178</v>
      </c>
    </row>
    <row r="348" spans="3:9" x14ac:dyDescent="0.35">
      <c r="C348">
        <v>15198.034607989746</v>
      </c>
      <c r="D348" s="9">
        <f t="shared" si="20"/>
        <v>300000</v>
      </c>
      <c r="E348" s="9">
        <f t="shared" si="21"/>
        <v>550000</v>
      </c>
      <c r="G348">
        <v>3132.4503311258277</v>
      </c>
      <c r="H348" s="9">
        <f t="shared" si="23"/>
        <v>156622.51655629138</v>
      </c>
      <c r="I348" s="9">
        <f t="shared" si="22"/>
        <v>-280728.47682119207</v>
      </c>
    </row>
    <row r="349" spans="3:9" x14ac:dyDescent="0.35">
      <c r="C349">
        <v>13733.298745689261</v>
      </c>
      <c r="D349" s="9">
        <f t="shared" si="20"/>
        <v>300000</v>
      </c>
      <c r="E349" s="9">
        <f t="shared" si="21"/>
        <v>461330.9121982482</v>
      </c>
      <c r="G349">
        <v>3429.2428357799004</v>
      </c>
      <c r="H349" s="9">
        <f t="shared" si="23"/>
        <v>171462.14178899501</v>
      </c>
      <c r="I349" s="9">
        <f t="shared" si="22"/>
        <v>-259953.00149540696</v>
      </c>
    </row>
    <row r="350" spans="3:9" x14ac:dyDescent="0.35">
      <c r="C350">
        <v>14101.046784875027</v>
      </c>
      <c r="D350" s="9">
        <f t="shared" si="20"/>
        <v>300000</v>
      </c>
      <c r="E350" s="9">
        <f t="shared" si="21"/>
        <v>487073.27494125185</v>
      </c>
      <c r="G350">
        <v>3625.3242591631824</v>
      </c>
      <c r="H350" s="9">
        <f t="shared" si="23"/>
        <v>181266.21295815913</v>
      </c>
      <c r="I350" s="9">
        <f t="shared" si="22"/>
        <v>-246227.30185857724</v>
      </c>
    </row>
    <row r="351" spans="3:9" x14ac:dyDescent="0.35">
      <c r="C351">
        <v>16442.42683187353</v>
      </c>
      <c r="D351" s="9">
        <f t="shared" si="20"/>
        <v>300000</v>
      </c>
      <c r="E351" s="9">
        <f t="shared" si="21"/>
        <v>550000</v>
      </c>
      <c r="G351">
        <v>3701.9257179479355</v>
      </c>
      <c r="H351" s="9">
        <f t="shared" si="23"/>
        <v>185096.28589739677</v>
      </c>
      <c r="I351" s="9">
        <f t="shared" si="22"/>
        <v>-240865.19974364451</v>
      </c>
    </row>
    <row r="352" spans="3:9" x14ac:dyDescent="0.35">
      <c r="C352">
        <v>12491.195410016175</v>
      </c>
      <c r="D352" s="9">
        <f t="shared" si="20"/>
        <v>300000</v>
      </c>
      <c r="E352" s="9">
        <f t="shared" si="21"/>
        <v>374383.67870113219</v>
      </c>
      <c r="G352">
        <v>7207.5869014557329</v>
      </c>
      <c r="H352" s="9">
        <f t="shared" si="23"/>
        <v>300000</v>
      </c>
      <c r="I352" s="9">
        <f t="shared" si="22"/>
        <v>4531.083101901284</v>
      </c>
    </row>
    <row r="353" spans="3:9" x14ac:dyDescent="0.35">
      <c r="C353">
        <v>12408.032471694083</v>
      </c>
      <c r="D353" s="9">
        <f t="shared" si="20"/>
        <v>300000</v>
      </c>
      <c r="E353" s="9">
        <f t="shared" si="21"/>
        <v>368562.27301858587</v>
      </c>
      <c r="G353">
        <v>5794.5799127170631</v>
      </c>
      <c r="H353" s="9">
        <f t="shared" si="23"/>
        <v>289728.99563585315</v>
      </c>
      <c r="I353" s="9">
        <f t="shared" si="22"/>
        <v>-94379.406109805568</v>
      </c>
    </row>
    <row r="354" spans="3:9" x14ac:dyDescent="0.35">
      <c r="C354">
        <v>14119.357890560625</v>
      </c>
      <c r="D354" s="9">
        <f t="shared" si="20"/>
        <v>300000</v>
      </c>
      <c r="E354" s="9">
        <f t="shared" si="21"/>
        <v>488355.0523392437</v>
      </c>
      <c r="G354">
        <v>4292.7640614032407</v>
      </c>
      <c r="H354" s="9">
        <f t="shared" si="23"/>
        <v>214638.20307016204</v>
      </c>
      <c r="I354" s="9">
        <f t="shared" si="22"/>
        <v>-199506.51570177317</v>
      </c>
    </row>
    <row r="355" spans="3:9" x14ac:dyDescent="0.35">
      <c r="C355">
        <v>15145.084994048892</v>
      </c>
      <c r="D355" s="9">
        <f t="shared" si="20"/>
        <v>300000</v>
      </c>
      <c r="E355" s="9">
        <f t="shared" si="21"/>
        <v>550000</v>
      </c>
      <c r="G355">
        <v>3809.8086489455854</v>
      </c>
      <c r="H355" s="9">
        <f t="shared" si="23"/>
        <v>190490.43244727928</v>
      </c>
      <c r="I355" s="9">
        <f t="shared" si="22"/>
        <v>-233313.394573809</v>
      </c>
    </row>
    <row r="356" spans="3:9" x14ac:dyDescent="0.35">
      <c r="C356">
        <v>14455.671864986114</v>
      </c>
      <c r="D356" s="9">
        <f t="shared" si="20"/>
        <v>300000</v>
      </c>
      <c r="E356" s="9">
        <f t="shared" si="21"/>
        <v>511897.03054902796</v>
      </c>
      <c r="G356">
        <v>4351.054414502396</v>
      </c>
      <c r="H356" s="9">
        <f t="shared" si="23"/>
        <v>217552.72072511981</v>
      </c>
      <c r="I356" s="9">
        <f t="shared" si="22"/>
        <v>-195426.1909848323</v>
      </c>
    </row>
    <row r="357" spans="3:9" x14ac:dyDescent="0.35">
      <c r="C357">
        <v>14260.353404339732</v>
      </c>
      <c r="D357" s="9">
        <f t="shared" si="20"/>
        <v>300000</v>
      </c>
      <c r="E357" s="9">
        <f t="shared" si="21"/>
        <v>498224.73830378125</v>
      </c>
      <c r="G357">
        <v>5565.0807214575634</v>
      </c>
      <c r="H357" s="9">
        <f t="shared" si="23"/>
        <v>278254.03607287817</v>
      </c>
      <c r="I357" s="9">
        <f t="shared" si="22"/>
        <v>-110444.34949797054</v>
      </c>
    </row>
    <row r="358" spans="3:9" x14ac:dyDescent="0.35">
      <c r="C358">
        <v>14436.902981658375</v>
      </c>
      <c r="D358" s="9">
        <f t="shared" si="20"/>
        <v>300000</v>
      </c>
      <c r="E358" s="9">
        <f t="shared" si="21"/>
        <v>510583.20871608623</v>
      </c>
      <c r="G358">
        <v>5566.454054383983</v>
      </c>
      <c r="H358" s="9">
        <f t="shared" si="23"/>
        <v>278322.70271919912</v>
      </c>
      <c r="I358" s="9">
        <f t="shared" si="22"/>
        <v>-110348.21619312116</v>
      </c>
    </row>
    <row r="359" spans="3:9" x14ac:dyDescent="0.35">
      <c r="C359">
        <v>14234.565263832515</v>
      </c>
      <c r="D359" s="9">
        <f t="shared" si="20"/>
        <v>300000</v>
      </c>
      <c r="E359" s="9">
        <f t="shared" si="21"/>
        <v>496419.56846827606</v>
      </c>
      <c r="G359">
        <v>5665.3340250862148</v>
      </c>
      <c r="H359" s="9">
        <f t="shared" si="23"/>
        <v>283266.70125431073</v>
      </c>
      <c r="I359" s="9">
        <f t="shared" si="22"/>
        <v>-103426.61824396497</v>
      </c>
    </row>
    <row r="360" spans="3:9" x14ac:dyDescent="0.35">
      <c r="C360">
        <v>14063.05124057741</v>
      </c>
      <c r="D360" s="9">
        <f t="shared" si="20"/>
        <v>300000</v>
      </c>
      <c r="E360" s="9">
        <f t="shared" si="21"/>
        <v>484413.58684041863</v>
      </c>
      <c r="G360">
        <v>4461.0736411633661</v>
      </c>
      <c r="H360" s="9">
        <f t="shared" si="23"/>
        <v>223053.68205816831</v>
      </c>
      <c r="I360" s="9">
        <f t="shared" si="22"/>
        <v>-187724.84511856438</v>
      </c>
    </row>
    <row r="361" spans="3:9" x14ac:dyDescent="0.35">
      <c r="C361">
        <v>13805.322428052614</v>
      </c>
      <c r="D361" s="9">
        <f t="shared" si="20"/>
        <v>300000</v>
      </c>
      <c r="E361" s="9">
        <f t="shared" si="21"/>
        <v>466372.56996368291</v>
      </c>
      <c r="G361">
        <v>5091.4334543900877</v>
      </c>
      <c r="H361" s="9">
        <f t="shared" si="23"/>
        <v>254571.67271950439</v>
      </c>
      <c r="I361" s="9">
        <f t="shared" si="22"/>
        <v>-143599.65819269384</v>
      </c>
    </row>
    <row r="362" spans="3:9" x14ac:dyDescent="0.35">
      <c r="C362">
        <v>13718.344676046021</v>
      </c>
      <c r="D362" s="9">
        <f t="shared" si="20"/>
        <v>300000</v>
      </c>
      <c r="E362" s="9">
        <f t="shared" si="21"/>
        <v>460284.12732322142</v>
      </c>
      <c r="G362">
        <v>6763.8477736747336</v>
      </c>
      <c r="H362" s="9">
        <f t="shared" si="23"/>
        <v>300000</v>
      </c>
      <c r="I362" s="9">
        <f t="shared" si="22"/>
        <v>-26530.655842768669</v>
      </c>
    </row>
    <row r="363" spans="3:9" x14ac:dyDescent="0.35">
      <c r="C363">
        <v>13588.030640583514</v>
      </c>
      <c r="D363" s="9">
        <f t="shared" si="20"/>
        <v>300000</v>
      </c>
      <c r="E363" s="9">
        <f t="shared" si="21"/>
        <v>451162.14484084607</v>
      </c>
      <c r="G363">
        <v>4706.5950498977636</v>
      </c>
      <c r="H363" s="9">
        <f t="shared" si="23"/>
        <v>235329.75249488818</v>
      </c>
      <c r="I363" s="9">
        <f t="shared" si="22"/>
        <v>-170538.34650715656</v>
      </c>
    </row>
    <row r="364" spans="3:9" x14ac:dyDescent="0.35">
      <c r="C364">
        <v>16566.637165440839</v>
      </c>
      <c r="D364" s="9">
        <f t="shared" si="20"/>
        <v>300000</v>
      </c>
      <c r="E364" s="9">
        <f t="shared" si="21"/>
        <v>550000</v>
      </c>
      <c r="G364">
        <v>3548.5702078310496</v>
      </c>
      <c r="H364" s="9">
        <f t="shared" si="23"/>
        <v>177428.51039155247</v>
      </c>
      <c r="I364" s="9">
        <f t="shared" si="22"/>
        <v>-251600.08545182651</v>
      </c>
    </row>
    <row r="365" spans="3:9" x14ac:dyDescent="0.35">
      <c r="C365">
        <v>13127.353740043336</v>
      </c>
      <c r="D365" s="9">
        <f t="shared" si="20"/>
        <v>300000</v>
      </c>
      <c r="E365" s="9">
        <f t="shared" si="21"/>
        <v>418914.76180303353</v>
      </c>
      <c r="G365">
        <v>6860.2862636188856</v>
      </c>
      <c r="H365" s="9">
        <f t="shared" si="23"/>
        <v>300000</v>
      </c>
      <c r="I365" s="9">
        <f t="shared" si="22"/>
        <v>-19779.96154667798</v>
      </c>
    </row>
    <row r="366" spans="3:9" x14ac:dyDescent="0.35">
      <c r="C366">
        <v>14677.999206518754</v>
      </c>
      <c r="D366" s="9">
        <f t="shared" si="20"/>
        <v>300000</v>
      </c>
      <c r="E366" s="9">
        <f t="shared" si="21"/>
        <v>527459.94445631281</v>
      </c>
      <c r="G366">
        <v>6365.5812250129702</v>
      </c>
      <c r="H366" s="9">
        <f t="shared" si="23"/>
        <v>300000</v>
      </c>
      <c r="I366" s="9">
        <f t="shared" si="22"/>
        <v>-54409.314249092073</v>
      </c>
    </row>
    <row r="367" spans="3:9" x14ac:dyDescent="0.35">
      <c r="C367">
        <v>15661.305581835382</v>
      </c>
      <c r="D367" s="9">
        <f t="shared" si="20"/>
        <v>300000</v>
      </c>
      <c r="E367" s="9">
        <f t="shared" si="21"/>
        <v>550000</v>
      </c>
      <c r="G367">
        <v>5171.6971343119603</v>
      </c>
      <c r="H367" s="9">
        <f t="shared" si="23"/>
        <v>258584.85671559803</v>
      </c>
      <c r="I367" s="9">
        <f t="shared" si="22"/>
        <v>-137981.20059816277</v>
      </c>
    </row>
    <row r="368" spans="3:9" x14ac:dyDescent="0.35">
      <c r="C368">
        <v>15305.154576250496</v>
      </c>
      <c r="D368" s="9">
        <f t="shared" si="20"/>
        <v>300000</v>
      </c>
      <c r="E368" s="9">
        <f t="shared" si="21"/>
        <v>550000</v>
      </c>
      <c r="G368">
        <v>7359.8742637409587</v>
      </c>
      <c r="H368" s="9">
        <f t="shared" si="23"/>
        <v>300000</v>
      </c>
      <c r="I368" s="9">
        <f t="shared" si="22"/>
        <v>15191.198461867112</v>
      </c>
    </row>
    <row r="369" spans="3:9" x14ac:dyDescent="0.35">
      <c r="C369">
        <v>12593.585009308146</v>
      </c>
      <c r="D369" s="9">
        <f t="shared" si="20"/>
        <v>300000</v>
      </c>
      <c r="E369" s="9">
        <f t="shared" si="21"/>
        <v>381550.95065157022</v>
      </c>
      <c r="G369">
        <v>5754.6006653035065</v>
      </c>
      <c r="H369" s="9">
        <f t="shared" si="23"/>
        <v>287730.0332651753</v>
      </c>
      <c r="I369" s="9">
        <f t="shared" si="22"/>
        <v>-97177.953428754525</v>
      </c>
    </row>
    <row r="370" spans="3:9" x14ac:dyDescent="0.35">
      <c r="C370">
        <v>12563.676870021669</v>
      </c>
      <c r="D370" s="9">
        <f t="shared" si="20"/>
        <v>300000</v>
      </c>
      <c r="E370" s="9">
        <f t="shared" si="21"/>
        <v>379457.38090151688</v>
      </c>
      <c r="G370">
        <v>5856.8376720480974</v>
      </c>
      <c r="H370" s="9">
        <f t="shared" si="23"/>
        <v>292841.88360240485</v>
      </c>
      <c r="I370" s="9">
        <f t="shared" si="22"/>
        <v>-90021.362956633209</v>
      </c>
    </row>
    <row r="371" spans="3:9" x14ac:dyDescent="0.35">
      <c r="C371">
        <v>13159.703360087893</v>
      </c>
      <c r="D371" s="9">
        <f t="shared" si="20"/>
        <v>300000</v>
      </c>
      <c r="E371" s="9">
        <f t="shared" si="21"/>
        <v>421179.23520615255</v>
      </c>
      <c r="G371">
        <v>6699.9114963225193</v>
      </c>
      <c r="H371" s="9">
        <f t="shared" si="23"/>
        <v>300000</v>
      </c>
      <c r="I371" s="9">
        <f t="shared" si="22"/>
        <v>-31006.195257423678</v>
      </c>
    </row>
    <row r="372" spans="3:9" x14ac:dyDescent="0.35">
      <c r="C372">
        <v>14312.997833185827</v>
      </c>
      <c r="D372" s="9">
        <f t="shared" si="20"/>
        <v>300000</v>
      </c>
      <c r="E372" s="9">
        <f t="shared" si="21"/>
        <v>501909.84832300793</v>
      </c>
      <c r="G372">
        <v>7194.0061647389139</v>
      </c>
      <c r="H372" s="9">
        <f t="shared" si="23"/>
        <v>300000</v>
      </c>
      <c r="I372" s="9">
        <f t="shared" si="22"/>
        <v>3580.4315317239962</v>
      </c>
    </row>
    <row r="373" spans="3:9" x14ac:dyDescent="0.35">
      <c r="C373">
        <v>16148.228400524918</v>
      </c>
      <c r="D373" s="9">
        <f t="shared" si="20"/>
        <v>300000</v>
      </c>
      <c r="E373" s="9">
        <f t="shared" si="21"/>
        <v>550000</v>
      </c>
      <c r="G373">
        <v>4724.7535630359816</v>
      </c>
      <c r="H373" s="9">
        <f t="shared" si="23"/>
        <v>236237.67815179907</v>
      </c>
      <c r="I373" s="9">
        <f t="shared" si="22"/>
        <v>-169267.25058748131</v>
      </c>
    </row>
    <row r="374" spans="3:9" x14ac:dyDescent="0.35">
      <c r="C374">
        <v>14902.005066072574</v>
      </c>
      <c r="D374" s="9">
        <f t="shared" si="20"/>
        <v>300000</v>
      </c>
      <c r="E374" s="9">
        <f t="shared" si="21"/>
        <v>543140.35462508013</v>
      </c>
      <c r="G374">
        <v>3342.8754539628285</v>
      </c>
      <c r="H374" s="9">
        <f t="shared" si="23"/>
        <v>167143.77269814143</v>
      </c>
      <c r="I374" s="9">
        <f t="shared" si="22"/>
        <v>-265998.71822260204</v>
      </c>
    </row>
    <row r="375" spans="3:9" x14ac:dyDescent="0.35">
      <c r="C375">
        <v>12930.814539017914</v>
      </c>
      <c r="D375" s="9">
        <f t="shared" si="20"/>
        <v>300000</v>
      </c>
      <c r="E375" s="9">
        <f t="shared" si="21"/>
        <v>405157.01773125399</v>
      </c>
      <c r="G375">
        <v>6608.0507827997681</v>
      </c>
      <c r="H375" s="9">
        <f t="shared" si="23"/>
        <v>300000</v>
      </c>
      <c r="I375" s="9">
        <f t="shared" si="22"/>
        <v>-37436.445204016229</v>
      </c>
    </row>
    <row r="376" spans="3:9" x14ac:dyDescent="0.35">
      <c r="C376">
        <v>12269.020661030916</v>
      </c>
      <c r="D376" s="9">
        <f t="shared" si="20"/>
        <v>300000</v>
      </c>
      <c r="E376" s="9">
        <f t="shared" si="21"/>
        <v>358831.44627216412</v>
      </c>
      <c r="G376">
        <v>3700.7049775688956</v>
      </c>
      <c r="H376" s="9">
        <f t="shared" si="23"/>
        <v>185035.24887844478</v>
      </c>
      <c r="I376" s="9">
        <f t="shared" si="22"/>
        <v>-240950.65157017732</v>
      </c>
    </row>
    <row r="377" spans="3:9" x14ac:dyDescent="0.35">
      <c r="C377">
        <v>12591.143528550067</v>
      </c>
      <c r="D377" s="9">
        <f t="shared" si="20"/>
        <v>300000</v>
      </c>
      <c r="E377" s="9">
        <f t="shared" si="21"/>
        <v>381380.04699850467</v>
      </c>
      <c r="G377">
        <v>6521.5308084353164</v>
      </c>
      <c r="H377" s="9">
        <f t="shared" si="23"/>
        <v>300000</v>
      </c>
      <c r="I377" s="9">
        <f t="shared" si="22"/>
        <v>-43492.84340952785</v>
      </c>
    </row>
    <row r="378" spans="3:9" x14ac:dyDescent="0.35">
      <c r="C378">
        <v>13282.387768181401</v>
      </c>
      <c r="D378" s="9">
        <f t="shared" si="20"/>
        <v>300000</v>
      </c>
      <c r="E378" s="9">
        <f t="shared" si="21"/>
        <v>429767.14377269812</v>
      </c>
      <c r="G378">
        <v>3972.9300820947906</v>
      </c>
      <c r="H378" s="9">
        <f t="shared" si="23"/>
        <v>198646.50410473952</v>
      </c>
      <c r="I378" s="9">
        <f t="shared" si="22"/>
        <v>-221894.89425336465</v>
      </c>
    </row>
    <row r="379" spans="3:9" x14ac:dyDescent="0.35">
      <c r="C379">
        <v>13733.298745689261</v>
      </c>
      <c r="D379" s="9">
        <f t="shared" si="20"/>
        <v>300000</v>
      </c>
      <c r="E379" s="9">
        <f t="shared" si="21"/>
        <v>461330.9121982482</v>
      </c>
      <c r="G379">
        <v>6746.2996307260355</v>
      </c>
      <c r="H379" s="9">
        <f t="shared" si="23"/>
        <v>300000</v>
      </c>
      <c r="I379" s="9">
        <f t="shared" si="22"/>
        <v>-27759.025849177502</v>
      </c>
    </row>
    <row r="380" spans="3:9" x14ac:dyDescent="0.35">
      <c r="C380">
        <v>14813.501388592182</v>
      </c>
      <c r="D380" s="9">
        <f t="shared" si="20"/>
        <v>300000</v>
      </c>
      <c r="E380" s="9">
        <f t="shared" si="21"/>
        <v>536945.09720145271</v>
      </c>
      <c r="G380">
        <v>6937.0403149510184</v>
      </c>
      <c r="H380" s="9">
        <f t="shared" si="23"/>
        <v>300000</v>
      </c>
      <c r="I380" s="9">
        <f t="shared" si="22"/>
        <v>-14407.177953428705</v>
      </c>
    </row>
    <row r="381" spans="3:9" x14ac:dyDescent="0.35">
      <c r="C381">
        <v>16752.037110507525</v>
      </c>
      <c r="D381" s="9">
        <f t="shared" si="20"/>
        <v>300000</v>
      </c>
      <c r="E381" s="9">
        <f t="shared" si="21"/>
        <v>550000</v>
      </c>
      <c r="G381">
        <v>6650.4715109714043</v>
      </c>
      <c r="H381" s="9">
        <f t="shared" si="23"/>
        <v>300000</v>
      </c>
      <c r="I381" s="9">
        <f t="shared" si="22"/>
        <v>-34466.994232001714</v>
      </c>
    </row>
    <row r="382" spans="3:9" x14ac:dyDescent="0.35">
      <c r="C382">
        <v>15465.681936094241</v>
      </c>
      <c r="D382" s="9">
        <f t="shared" si="20"/>
        <v>300000</v>
      </c>
      <c r="E382" s="9">
        <f t="shared" si="21"/>
        <v>550000</v>
      </c>
      <c r="G382">
        <v>6700.2166814172797</v>
      </c>
      <c r="H382" s="9">
        <f t="shared" si="23"/>
        <v>300000</v>
      </c>
      <c r="I382" s="9">
        <f t="shared" si="22"/>
        <v>-30984.832300790411</v>
      </c>
    </row>
    <row r="383" spans="3:9" x14ac:dyDescent="0.35">
      <c r="C383">
        <v>13039.460432752465</v>
      </c>
      <c r="D383" s="9">
        <f t="shared" si="20"/>
        <v>300000</v>
      </c>
      <c r="E383" s="9">
        <f t="shared" si="21"/>
        <v>412762.23029267252</v>
      </c>
      <c r="G383">
        <v>6341.1664174321722</v>
      </c>
      <c r="H383" s="9">
        <f t="shared" si="23"/>
        <v>300000</v>
      </c>
      <c r="I383" s="9">
        <f t="shared" si="22"/>
        <v>-56118.35077974794</v>
      </c>
    </row>
    <row r="384" spans="3:9" x14ac:dyDescent="0.35">
      <c r="C384">
        <v>14766.502883999146</v>
      </c>
      <c r="D384" s="9">
        <f t="shared" si="20"/>
        <v>300000</v>
      </c>
      <c r="E384" s="9">
        <f t="shared" si="21"/>
        <v>533655.20187994023</v>
      </c>
      <c r="G384">
        <v>3464.1865291299173</v>
      </c>
      <c r="H384" s="9">
        <f t="shared" si="23"/>
        <v>173209.32645649585</v>
      </c>
      <c r="I384" s="9">
        <f t="shared" si="22"/>
        <v>-257506.94296090578</v>
      </c>
    </row>
    <row r="385" spans="3:9" x14ac:dyDescent="0.35">
      <c r="C385">
        <v>16960.325937681206</v>
      </c>
      <c r="D385" s="9">
        <f t="shared" si="20"/>
        <v>300000</v>
      </c>
      <c r="E385" s="9">
        <f t="shared" si="21"/>
        <v>550000</v>
      </c>
      <c r="G385">
        <v>5204.5045319986566</v>
      </c>
      <c r="H385" s="9">
        <f t="shared" si="23"/>
        <v>260225.22659993282</v>
      </c>
      <c r="I385" s="9">
        <f t="shared" si="22"/>
        <v>-135684.68276009406</v>
      </c>
    </row>
    <row r="386" spans="3:9" x14ac:dyDescent="0.35">
      <c r="C386">
        <v>13594.592120120853</v>
      </c>
      <c r="D386" s="9">
        <f t="shared" si="20"/>
        <v>300000</v>
      </c>
      <c r="E386" s="9">
        <f t="shared" si="21"/>
        <v>451621.44840845966</v>
      </c>
      <c r="G386">
        <v>4412.5492110965297</v>
      </c>
      <c r="H386" s="9">
        <f t="shared" si="23"/>
        <v>220627.46055482648</v>
      </c>
      <c r="I386" s="9">
        <f t="shared" si="22"/>
        <v>-191121.5552232429</v>
      </c>
    </row>
    <row r="387" spans="3:9" x14ac:dyDescent="0.35">
      <c r="C387">
        <v>15527.024140140995</v>
      </c>
      <c r="D387" s="9">
        <f t="shared" si="20"/>
        <v>300000</v>
      </c>
      <c r="E387" s="9">
        <f t="shared" si="21"/>
        <v>550000</v>
      </c>
      <c r="G387">
        <v>4730.0943021942803</v>
      </c>
      <c r="H387" s="9">
        <f t="shared" si="23"/>
        <v>236504.71510971402</v>
      </c>
      <c r="I387" s="9">
        <f t="shared" si="22"/>
        <v>-168893.39884640038</v>
      </c>
    </row>
    <row r="388" spans="3:9" x14ac:dyDescent="0.35">
      <c r="C388">
        <v>12277.108066042054</v>
      </c>
      <c r="D388" s="9">
        <f t="shared" si="20"/>
        <v>300000</v>
      </c>
      <c r="E388" s="9">
        <f t="shared" si="21"/>
        <v>359397.56462294376</v>
      </c>
      <c r="G388">
        <v>3769.0664387951292</v>
      </c>
      <c r="H388" s="9">
        <f t="shared" si="23"/>
        <v>188453.32193975645</v>
      </c>
      <c r="I388" s="9">
        <f t="shared" si="22"/>
        <v>-236165.34928434098</v>
      </c>
    </row>
    <row r="389" spans="3:9" x14ac:dyDescent="0.35">
      <c r="C389">
        <v>12721.915341654714</v>
      </c>
      <c r="D389" s="9">
        <f t="shared" si="20"/>
        <v>300000</v>
      </c>
      <c r="E389" s="9">
        <f t="shared" si="21"/>
        <v>390534.07391583</v>
      </c>
      <c r="G389">
        <v>7728.8430433057647</v>
      </c>
      <c r="H389" s="9">
        <f t="shared" si="23"/>
        <v>300000</v>
      </c>
      <c r="I389" s="9">
        <f t="shared" si="22"/>
        <v>41019.013031403534</v>
      </c>
    </row>
    <row r="390" spans="3:9" x14ac:dyDescent="0.35">
      <c r="C390">
        <v>16789.880062257758</v>
      </c>
      <c r="D390" s="9">
        <f t="shared" si="20"/>
        <v>300000</v>
      </c>
      <c r="E390" s="9">
        <f t="shared" si="21"/>
        <v>550000</v>
      </c>
      <c r="G390">
        <v>6962.3706778160958</v>
      </c>
      <c r="H390" s="9">
        <f t="shared" si="23"/>
        <v>300000</v>
      </c>
      <c r="I390" s="9">
        <f t="shared" si="22"/>
        <v>-12634.052552873269</v>
      </c>
    </row>
    <row r="391" spans="3:9" x14ac:dyDescent="0.35">
      <c r="C391">
        <v>13416.364024781029</v>
      </c>
      <c r="D391" s="9">
        <f t="shared" si="20"/>
        <v>300000</v>
      </c>
      <c r="E391" s="9">
        <f t="shared" si="21"/>
        <v>439145.48173467198</v>
      </c>
      <c r="G391">
        <v>5394.9400311288791</v>
      </c>
      <c r="H391" s="9">
        <f t="shared" si="23"/>
        <v>269747.00155644398</v>
      </c>
      <c r="I391" s="9">
        <f t="shared" si="22"/>
        <v>-122354.19782097847</v>
      </c>
    </row>
    <row r="392" spans="3:9" x14ac:dyDescent="0.35">
      <c r="C392">
        <v>14436.140018921476</v>
      </c>
      <c r="D392" s="9">
        <f t="shared" si="20"/>
        <v>300000</v>
      </c>
      <c r="E392" s="9">
        <f t="shared" si="21"/>
        <v>510529.80132450338</v>
      </c>
      <c r="G392">
        <v>5786.7976928006838</v>
      </c>
      <c r="H392" s="9">
        <f t="shared" si="23"/>
        <v>289339.88464003417</v>
      </c>
      <c r="I392" s="9">
        <f t="shared" si="22"/>
        <v>-94924.161503952113</v>
      </c>
    </row>
    <row r="393" spans="3:9" x14ac:dyDescent="0.35">
      <c r="C393">
        <v>14007.660145878475</v>
      </c>
      <c r="D393" s="9">
        <f t="shared" si="20"/>
        <v>300000</v>
      </c>
      <c r="E393" s="9">
        <f t="shared" si="21"/>
        <v>480536.21021149331</v>
      </c>
      <c r="G393">
        <v>7774.0104373302402</v>
      </c>
      <c r="H393" s="9">
        <f t="shared" si="23"/>
        <v>300000</v>
      </c>
      <c r="I393" s="9">
        <f t="shared" si="22"/>
        <v>44180.730613116757</v>
      </c>
    </row>
    <row r="394" spans="3:9" x14ac:dyDescent="0.35">
      <c r="C394">
        <v>13911.679433576464</v>
      </c>
      <c r="D394" s="9">
        <f t="shared" si="20"/>
        <v>300000</v>
      </c>
      <c r="E394" s="9">
        <f t="shared" si="21"/>
        <v>473817.56035035255</v>
      </c>
      <c r="G394">
        <v>4128.7270729697557</v>
      </c>
      <c r="H394" s="9">
        <f t="shared" si="23"/>
        <v>206436.35364848777</v>
      </c>
      <c r="I394" s="9">
        <f t="shared" si="22"/>
        <v>-210989.10489211709</v>
      </c>
    </row>
    <row r="395" spans="3:9" x14ac:dyDescent="0.35">
      <c r="C395">
        <v>16310.739463484602</v>
      </c>
      <c r="D395" s="9">
        <f t="shared" si="20"/>
        <v>300000</v>
      </c>
      <c r="E395" s="9">
        <f t="shared" si="21"/>
        <v>550000</v>
      </c>
      <c r="G395">
        <v>5201.7578661458174</v>
      </c>
      <c r="H395" s="9">
        <f t="shared" si="23"/>
        <v>260087.89330729085</v>
      </c>
      <c r="I395" s="9">
        <f t="shared" si="22"/>
        <v>-135876.94936979277</v>
      </c>
    </row>
    <row r="396" spans="3:9" x14ac:dyDescent="0.35">
      <c r="C396">
        <v>16382.457960753196</v>
      </c>
      <c r="D396" s="9">
        <f t="shared" ref="D396:D459" si="24">50*MIN(C396,6000)</f>
        <v>300000</v>
      </c>
      <c r="E396" s="9">
        <f t="shared" ref="E396:E459" si="25">70*MIN(C396,15000)-500000</f>
        <v>550000</v>
      </c>
      <c r="G396">
        <v>7808.8015381328778</v>
      </c>
      <c r="H396" s="9">
        <f t="shared" si="23"/>
        <v>300000</v>
      </c>
      <c r="I396" s="9">
        <f t="shared" ref="I396:I459" si="26">70*MIN(G396,15000)-500000</f>
        <v>46616.107669301447</v>
      </c>
    </row>
    <row r="397" spans="3:9" x14ac:dyDescent="0.35">
      <c r="C397">
        <v>16057.741019928588</v>
      </c>
      <c r="D397" s="9">
        <f t="shared" si="24"/>
        <v>300000</v>
      </c>
      <c r="E397" s="9">
        <f t="shared" si="25"/>
        <v>550000</v>
      </c>
      <c r="G397">
        <v>6297.3723563341173</v>
      </c>
      <c r="H397" s="9">
        <f t="shared" ref="H397:H460" si="27">50*MIN(G397,6000)</f>
        <v>300000</v>
      </c>
      <c r="I397" s="9">
        <f t="shared" si="26"/>
        <v>-59183.935056611779</v>
      </c>
    </row>
    <row r="398" spans="3:9" x14ac:dyDescent="0.35">
      <c r="C398">
        <v>14769.402142399365</v>
      </c>
      <c r="D398" s="9">
        <f t="shared" si="24"/>
        <v>300000</v>
      </c>
      <c r="E398" s="9">
        <f t="shared" si="25"/>
        <v>533858.14996795554</v>
      </c>
      <c r="G398">
        <v>3043.0310983611562</v>
      </c>
      <c r="H398" s="9">
        <f t="shared" si="27"/>
        <v>152151.55491805781</v>
      </c>
      <c r="I398" s="9">
        <f t="shared" si="26"/>
        <v>-286987.82311471907</v>
      </c>
    </row>
    <row r="399" spans="3:9" x14ac:dyDescent="0.35">
      <c r="C399">
        <v>15692.739646595661</v>
      </c>
      <c r="D399" s="9">
        <f t="shared" si="24"/>
        <v>300000</v>
      </c>
      <c r="E399" s="9">
        <f t="shared" si="25"/>
        <v>550000</v>
      </c>
      <c r="G399">
        <v>5250.1297036652722</v>
      </c>
      <c r="H399" s="9">
        <f t="shared" si="27"/>
        <v>262506.4851832636</v>
      </c>
      <c r="I399" s="9">
        <f t="shared" si="26"/>
        <v>-132490.92074343096</v>
      </c>
    </row>
    <row r="400" spans="3:9" x14ac:dyDescent="0.35">
      <c r="C400">
        <v>13434.827723014008</v>
      </c>
      <c r="D400" s="9">
        <f t="shared" si="24"/>
        <v>300000</v>
      </c>
      <c r="E400" s="9">
        <f t="shared" si="25"/>
        <v>440437.94061098062</v>
      </c>
      <c r="G400">
        <v>6558.0004272591323</v>
      </c>
      <c r="H400" s="9">
        <f t="shared" si="27"/>
        <v>300000</v>
      </c>
      <c r="I400" s="9">
        <f t="shared" si="26"/>
        <v>-40939.970091860741</v>
      </c>
    </row>
    <row r="401" spans="3:9" x14ac:dyDescent="0.35">
      <c r="C401">
        <v>16110.995818964202</v>
      </c>
      <c r="D401" s="9">
        <f t="shared" si="24"/>
        <v>300000</v>
      </c>
      <c r="E401" s="9">
        <f t="shared" si="25"/>
        <v>550000</v>
      </c>
      <c r="G401">
        <v>5564.165166173284</v>
      </c>
      <c r="H401" s="9">
        <f t="shared" si="27"/>
        <v>278208.2583086642</v>
      </c>
      <c r="I401" s="9">
        <f t="shared" si="26"/>
        <v>-110508.43836787011</v>
      </c>
    </row>
    <row r="402" spans="3:9" x14ac:dyDescent="0.35">
      <c r="C402">
        <v>15558.610797448653</v>
      </c>
      <c r="D402" s="9">
        <f t="shared" si="24"/>
        <v>300000</v>
      </c>
      <c r="E402" s="9">
        <f t="shared" si="25"/>
        <v>550000</v>
      </c>
      <c r="G402">
        <v>7106.8758201849423</v>
      </c>
      <c r="H402" s="9">
        <f t="shared" si="27"/>
        <v>300000</v>
      </c>
      <c r="I402" s="9">
        <f t="shared" si="26"/>
        <v>-2518.6925870540435</v>
      </c>
    </row>
    <row r="403" spans="3:9" x14ac:dyDescent="0.35">
      <c r="C403">
        <v>16738.151188695945</v>
      </c>
      <c r="D403" s="9">
        <f t="shared" si="24"/>
        <v>300000</v>
      </c>
      <c r="E403" s="9">
        <f t="shared" si="25"/>
        <v>550000</v>
      </c>
      <c r="G403">
        <v>7241.3098544267095</v>
      </c>
      <c r="H403" s="9">
        <f t="shared" si="27"/>
        <v>300000</v>
      </c>
      <c r="I403" s="9">
        <f t="shared" si="26"/>
        <v>6891.6898098696838</v>
      </c>
    </row>
    <row r="404" spans="3:9" x14ac:dyDescent="0.35">
      <c r="C404">
        <v>16280.983916745507</v>
      </c>
      <c r="D404" s="9">
        <f t="shared" si="24"/>
        <v>300000</v>
      </c>
      <c r="E404" s="9">
        <f t="shared" si="25"/>
        <v>550000</v>
      </c>
      <c r="G404">
        <v>3710.1657155064545</v>
      </c>
      <c r="H404" s="9">
        <f t="shared" si="27"/>
        <v>185508.28577532273</v>
      </c>
      <c r="I404" s="9">
        <f t="shared" si="26"/>
        <v>-240288.39991454818</v>
      </c>
    </row>
    <row r="405" spans="3:9" x14ac:dyDescent="0.35">
      <c r="C405">
        <v>15964.506973479416</v>
      </c>
      <c r="D405" s="9">
        <f t="shared" si="24"/>
        <v>300000</v>
      </c>
      <c r="E405" s="9">
        <f t="shared" si="25"/>
        <v>550000</v>
      </c>
      <c r="G405">
        <v>7708.2430494094669</v>
      </c>
      <c r="H405" s="9">
        <f t="shared" si="27"/>
        <v>300000</v>
      </c>
      <c r="I405" s="9">
        <f t="shared" si="26"/>
        <v>39577.013458662666</v>
      </c>
    </row>
    <row r="406" spans="3:9" x14ac:dyDescent="0.35">
      <c r="C406">
        <v>16808.801538132877</v>
      </c>
      <c r="D406" s="9">
        <f t="shared" si="24"/>
        <v>300000</v>
      </c>
      <c r="E406" s="9">
        <f t="shared" si="25"/>
        <v>550000</v>
      </c>
      <c r="G406">
        <v>5937.2539445173497</v>
      </c>
      <c r="H406" s="9">
        <f t="shared" si="27"/>
        <v>296862.69722586748</v>
      </c>
      <c r="I406" s="9">
        <f t="shared" si="26"/>
        <v>-84392.22388378554</v>
      </c>
    </row>
    <row r="407" spans="3:9" x14ac:dyDescent="0.35">
      <c r="C407">
        <v>12596.636860255745</v>
      </c>
      <c r="D407" s="9">
        <f t="shared" si="24"/>
        <v>300000</v>
      </c>
      <c r="E407" s="9">
        <f t="shared" si="25"/>
        <v>381764.5802179022</v>
      </c>
      <c r="G407">
        <v>6770.1040681173126</v>
      </c>
      <c r="H407" s="9">
        <f t="shared" si="27"/>
        <v>300000</v>
      </c>
      <c r="I407" s="9">
        <f t="shared" si="26"/>
        <v>-26092.715231788112</v>
      </c>
    </row>
    <row r="408" spans="3:9" x14ac:dyDescent="0.35">
      <c r="C408">
        <v>13753.746147038179</v>
      </c>
      <c r="D408" s="9">
        <f t="shared" si="24"/>
        <v>300000</v>
      </c>
      <c r="E408" s="9">
        <f t="shared" si="25"/>
        <v>462762.23029267252</v>
      </c>
      <c r="G408">
        <v>6644.0626239814446</v>
      </c>
      <c r="H408" s="9">
        <f t="shared" si="27"/>
        <v>300000</v>
      </c>
      <c r="I408" s="9">
        <f t="shared" si="26"/>
        <v>-34915.616321298876</v>
      </c>
    </row>
    <row r="409" spans="3:9" x14ac:dyDescent="0.35">
      <c r="C409">
        <v>16768.669698171943</v>
      </c>
      <c r="D409" s="9">
        <f t="shared" si="24"/>
        <v>300000</v>
      </c>
      <c r="E409" s="9">
        <f t="shared" si="25"/>
        <v>550000</v>
      </c>
      <c r="G409">
        <v>5605.8229316080196</v>
      </c>
      <c r="H409" s="9">
        <f t="shared" si="27"/>
        <v>280291.14658040099</v>
      </c>
      <c r="I409" s="9">
        <f t="shared" si="26"/>
        <v>-107592.39478743862</v>
      </c>
    </row>
    <row r="410" spans="3:9" x14ac:dyDescent="0.35">
      <c r="C410">
        <v>14621.692556535538</v>
      </c>
      <c r="D410" s="9">
        <f t="shared" si="24"/>
        <v>300000</v>
      </c>
      <c r="E410" s="9">
        <f t="shared" si="25"/>
        <v>523518.47895748762</v>
      </c>
      <c r="G410">
        <v>3367.5954466383864</v>
      </c>
      <c r="H410" s="9">
        <f t="shared" si="27"/>
        <v>168379.77233191932</v>
      </c>
      <c r="I410" s="9">
        <f t="shared" si="26"/>
        <v>-264268.31873531296</v>
      </c>
    </row>
    <row r="411" spans="3:9" x14ac:dyDescent="0.35">
      <c r="C411">
        <v>13803.949095126194</v>
      </c>
      <c r="D411" s="9">
        <f t="shared" si="24"/>
        <v>300000</v>
      </c>
      <c r="E411" s="9">
        <f t="shared" si="25"/>
        <v>466276.43665883364</v>
      </c>
      <c r="G411">
        <v>7446.3942381054112</v>
      </c>
      <c r="H411" s="9">
        <f t="shared" si="27"/>
        <v>300000</v>
      </c>
      <c r="I411" s="9">
        <f t="shared" si="26"/>
        <v>21247.596667378792</v>
      </c>
    </row>
    <row r="412" spans="3:9" x14ac:dyDescent="0.35">
      <c r="C412">
        <v>15226.722006897184</v>
      </c>
      <c r="D412" s="9">
        <f t="shared" si="24"/>
        <v>300000</v>
      </c>
      <c r="E412" s="9">
        <f t="shared" si="25"/>
        <v>550000</v>
      </c>
      <c r="G412">
        <v>6700.5218665120392</v>
      </c>
      <c r="H412" s="9">
        <f t="shared" si="27"/>
        <v>300000</v>
      </c>
      <c r="I412" s="9">
        <f t="shared" si="26"/>
        <v>-30963.46934415726</v>
      </c>
    </row>
    <row r="413" spans="3:9" x14ac:dyDescent="0.35">
      <c r="C413">
        <v>14965.636158330028</v>
      </c>
      <c r="D413" s="9">
        <f t="shared" si="24"/>
        <v>300000</v>
      </c>
      <c r="E413" s="9">
        <f t="shared" si="25"/>
        <v>547594.53108310199</v>
      </c>
      <c r="G413">
        <v>6222.4494155705434</v>
      </c>
      <c r="H413" s="9">
        <f t="shared" si="27"/>
        <v>300000</v>
      </c>
      <c r="I413" s="9">
        <f t="shared" si="26"/>
        <v>-64428.540910061973</v>
      </c>
    </row>
    <row r="414" spans="3:9" x14ac:dyDescent="0.35">
      <c r="C414">
        <v>13481.978820154423</v>
      </c>
      <c r="D414" s="9">
        <f t="shared" si="24"/>
        <v>300000</v>
      </c>
      <c r="E414" s="9">
        <f t="shared" si="25"/>
        <v>443738.51741080964</v>
      </c>
      <c r="G414">
        <v>3036.4696188238167</v>
      </c>
      <c r="H414" s="9">
        <f t="shared" si="27"/>
        <v>151823.48094119085</v>
      </c>
      <c r="I414" s="9">
        <f t="shared" si="26"/>
        <v>-287447.12668233283</v>
      </c>
    </row>
    <row r="415" spans="3:9" x14ac:dyDescent="0.35">
      <c r="C415">
        <v>12972.77748954741</v>
      </c>
      <c r="D415" s="9">
        <f t="shared" si="24"/>
        <v>300000</v>
      </c>
      <c r="E415" s="9">
        <f t="shared" si="25"/>
        <v>408094.42426831869</v>
      </c>
      <c r="G415">
        <v>7252.6017029328286</v>
      </c>
      <c r="H415" s="9">
        <f t="shared" si="27"/>
        <v>300000</v>
      </c>
      <c r="I415" s="9">
        <f t="shared" si="26"/>
        <v>7682.1192052980186</v>
      </c>
    </row>
    <row r="416" spans="3:9" x14ac:dyDescent="0.35">
      <c r="C416">
        <v>12160.222174748986</v>
      </c>
      <c r="D416" s="9">
        <f t="shared" si="24"/>
        <v>300000</v>
      </c>
      <c r="E416" s="9">
        <f t="shared" si="25"/>
        <v>351215.55223242904</v>
      </c>
      <c r="G416">
        <v>5734.6110415967287</v>
      </c>
      <c r="H416" s="9">
        <f t="shared" si="27"/>
        <v>286730.55207983643</v>
      </c>
      <c r="I416" s="9">
        <f t="shared" si="26"/>
        <v>-98577.227088228974</v>
      </c>
    </row>
    <row r="417" spans="3:9" x14ac:dyDescent="0.35">
      <c r="C417">
        <v>15776.055177465132</v>
      </c>
      <c r="D417" s="9">
        <f t="shared" si="24"/>
        <v>300000</v>
      </c>
      <c r="E417" s="9">
        <f t="shared" si="25"/>
        <v>550000</v>
      </c>
      <c r="G417">
        <v>4083.4070863979005</v>
      </c>
      <c r="H417" s="9">
        <f t="shared" si="27"/>
        <v>204170.35431989504</v>
      </c>
      <c r="I417" s="9">
        <f t="shared" si="26"/>
        <v>-214161.50395214697</v>
      </c>
    </row>
    <row r="418" spans="3:9" x14ac:dyDescent="0.35">
      <c r="C418">
        <v>16421.521652882475</v>
      </c>
      <c r="D418" s="9">
        <f t="shared" si="24"/>
        <v>300000</v>
      </c>
      <c r="E418" s="9">
        <f t="shared" si="25"/>
        <v>550000</v>
      </c>
      <c r="G418">
        <v>3596.331675160985</v>
      </c>
      <c r="H418" s="9">
        <f t="shared" si="27"/>
        <v>179816.58375804924</v>
      </c>
      <c r="I418" s="9">
        <f t="shared" si="26"/>
        <v>-248256.78273873104</v>
      </c>
    </row>
    <row r="419" spans="3:9" x14ac:dyDescent="0.35">
      <c r="C419">
        <v>12426.343577379681</v>
      </c>
      <c r="D419" s="9">
        <f t="shared" si="24"/>
        <v>300000</v>
      </c>
      <c r="E419" s="9">
        <f t="shared" si="25"/>
        <v>369844.05041657761</v>
      </c>
      <c r="G419">
        <v>6045.2894680623795</v>
      </c>
      <c r="H419" s="9">
        <f t="shared" si="27"/>
        <v>300000</v>
      </c>
      <c r="I419" s="9">
        <f t="shared" si="26"/>
        <v>-76829.737235633424</v>
      </c>
    </row>
    <row r="420" spans="3:9" x14ac:dyDescent="0.35">
      <c r="C420">
        <v>15829.615161595508</v>
      </c>
      <c r="D420" s="9">
        <f t="shared" si="24"/>
        <v>300000</v>
      </c>
      <c r="E420" s="9">
        <f t="shared" si="25"/>
        <v>550000</v>
      </c>
      <c r="G420">
        <v>4238.2885219885866</v>
      </c>
      <c r="H420" s="9">
        <f t="shared" si="27"/>
        <v>211914.42609942931</v>
      </c>
      <c r="I420" s="9">
        <f t="shared" si="26"/>
        <v>-203319.80346079892</v>
      </c>
    </row>
    <row r="421" spans="3:9" x14ac:dyDescent="0.35">
      <c r="C421">
        <v>13141.392254402295</v>
      </c>
      <c r="D421" s="9">
        <f t="shared" si="24"/>
        <v>300000</v>
      </c>
      <c r="E421" s="9">
        <f t="shared" si="25"/>
        <v>419897.45780816069</v>
      </c>
      <c r="G421">
        <v>5030.3964354380932</v>
      </c>
      <c r="H421" s="9">
        <f t="shared" si="27"/>
        <v>251519.82177190465</v>
      </c>
      <c r="I421" s="9">
        <f t="shared" si="26"/>
        <v>-147872.24951933348</v>
      </c>
    </row>
    <row r="422" spans="3:9" x14ac:dyDescent="0.35">
      <c r="C422">
        <v>15817.865535447248</v>
      </c>
      <c r="D422" s="9">
        <f t="shared" si="24"/>
        <v>300000</v>
      </c>
      <c r="E422" s="9">
        <f t="shared" si="25"/>
        <v>550000</v>
      </c>
      <c r="G422">
        <v>3071.2607196264535</v>
      </c>
      <c r="H422" s="9">
        <f t="shared" si="27"/>
        <v>153563.03598132267</v>
      </c>
      <c r="I422" s="9">
        <f t="shared" si="26"/>
        <v>-285011.74962614826</v>
      </c>
    </row>
    <row r="423" spans="3:9" x14ac:dyDescent="0.35">
      <c r="C423">
        <v>14926.419873653371</v>
      </c>
      <c r="D423" s="9">
        <f t="shared" si="24"/>
        <v>300000</v>
      </c>
      <c r="E423" s="9">
        <f t="shared" si="25"/>
        <v>544849.39115573594</v>
      </c>
      <c r="G423">
        <v>5604.1444135868405</v>
      </c>
      <c r="H423" s="9">
        <f t="shared" si="27"/>
        <v>280207.22067934205</v>
      </c>
      <c r="I423" s="9">
        <f t="shared" si="26"/>
        <v>-107709.89104892116</v>
      </c>
    </row>
    <row r="424" spans="3:9" x14ac:dyDescent="0.35">
      <c r="C424">
        <v>15764.305551316873</v>
      </c>
      <c r="D424" s="9">
        <f t="shared" si="24"/>
        <v>300000</v>
      </c>
      <c r="E424" s="9">
        <f t="shared" si="25"/>
        <v>550000</v>
      </c>
      <c r="G424">
        <v>6816.4922025208289</v>
      </c>
      <c r="H424" s="9">
        <f t="shared" si="27"/>
        <v>300000</v>
      </c>
      <c r="I424" s="9">
        <f t="shared" si="26"/>
        <v>-22845.545823541994</v>
      </c>
    </row>
    <row r="425" spans="3:9" x14ac:dyDescent="0.35">
      <c r="C425">
        <v>12526.749473555712</v>
      </c>
      <c r="D425" s="9">
        <f t="shared" si="24"/>
        <v>300000</v>
      </c>
      <c r="E425" s="9">
        <f t="shared" si="25"/>
        <v>376872.46314889984</v>
      </c>
      <c r="G425">
        <v>7916.531876583148</v>
      </c>
      <c r="H425" s="9">
        <f t="shared" si="27"/>
        <v>300000</v>
      </c>
      <c r="I425" s="9">
        <f t="shared" si="26"/>
        <v>54157.231360820355</v>
      </c>
    </row>
    <row r="426" spans="3:9" x14ac:dyDescent="0.35">
      <c r="C426">
        <v>15609.881893368329</v>
      </c>
      <c r="D426" s="9">
        <f t="shared" si="24"/>
        <v>300000</v>
      </c>
      <c r="E426" s="9">
        <f t="shared" si="25"/>
        <v>550000</v>
      </c>
      <c r="G426">
        <v>4397.4425489059113</v>
      </c>
      <c r="H426" s="9">
        <f t="shared" si="27"/>
        <v>219872.12744529557</v>
      </c>
      <c r="I426" s="9">
        <f t="shared" si="26"/>
        <v>-192179.02157658624</v>
      </c>
    </row>
    <row r="427" spans="3:9" x14ac:dyDescent="0.35">
      <c r="C427">
        <v>15153.01980651265</v>
      </c>
      <c r="D427" s="9">
        <f t="shared" si="24"/>
        <v>300000</v>
      </c>
      <c r="E427" s="9">
        <f t="shared" si="25"/>
        <v>550000</v>
      </c>
      <c r="G427">
        <v>6136.2346263008512</v>
      </c>
      <c r="H427" s="9">
        <f t="shared" si="27"/>
        <v>300000</v>
      </c>
      <c r="I427" s="9">
        <f t="shared" si="26"/>
        <v>-70463.576158940443</v>
      </c>
    </row>
    <row r="428" spans="3:9" x14ac:dyDescent="0.35">
      <c r="C428">
        <v>15934.446241645557</v>
      </c>
      <c r="D428" s="9">
        <f t="shared" si="24"/>
        <v>300000</v>
      </c>
      <c r="E428" s="9">
        <f t="shared" si="25"/>
        <v>550000</v>
      </c>
      <c r="G428">
        <v>3299.3865779595326</v>
      </c>
      <c r="H428" s="9">
        <f t="shared" si="27"/>
        <v>164969.32889797664</v>
      </c>
      <c r="I428" s="9">
        <f t="shared" si="26"/>
        <v>-269042.93954283273</v>
      </c>
    </row>
    <row r="429" spans="3:9" x14ac:dyDescent="0.35">
      <c r="C429">
        <v>15492.23303933836</v>
      </c>
      <c r="D429" s="9">
        <f t="shared" si="24"/>
        <v>300000</v>
      </c>
      <c r="E429" s="9">
        <f t="shared" si="25"/>
        <v>550000</v>
      </c>
      <c r="G429">
        <v>4395.7640308847313</v>
      </c>
      <c r="H429" s="9">
        <f t="shared" si="27"/>
        <v>219788.20154423657</v>
      </c>
      <c r="I429" s="9">
        <f t="shared" si="26"/>
        <v>-192296.51783806883</v>
      </c>
    </row>
    <row r="430" spans="3:9" x14ac:dyDescent="0.35">
      <c r="C430">
        <v>13209.753715628529</v>
      </c>
      <c r="D430" s="9">
        <f t="shared" si="24"/>
        <v>300000</v>
      </c>
      <c r="E430" s="9">
        <f t="shared" si="25"/>
        <v>424682.760093997</v>
      </c>
      <c r="G430">
        <v>6676.5648365733814</v>
      </c>
      <c r="H430" s="9">
        <f t="shared" si="27"/>
        <v>300000</v>
      </c>
      <c r="I430" s="9">
        <f t="shared" si="26"/>
        <v>-32640.461439863313</v>
      </c>
    </row>
    <row r="431" spans="3:9" x14ac:dyDescent="0.35">
      <c r="C431">
        <v>12093.081453901792</v>
      </c>
      <c r="D431" s="9">
        <f t="shared" si="24"/>
        <v>300000</v>
      </c>
      <c r="E431" s="9">
        <f t="shared" si="25"/>
        <v>346515.70177312545</v>
      </c>
      <c r="G431">
        <v>5642.1399578844566</v>
      </c>
      <c r="H431" s="9">
        <f t="shared" si="27"/>
        <v>282106.99789422285</v>
      </c>
      <c r="I431" s="9">
        <f t="shared" si="26"/>
        <v>-105050.20294808806</v>
      </c>
    </row>
    <row r="432" spans="3:9" x14ac:dyDescent="0.35">
      <c r="C432">
        <v>13209.448530533769</v>
      </c>
      <c r="D432" s="9">
        <f t="shared" si="24"/>
        <v>300000</v>
      </c>
      <c r="E432" s="9">
        <f t="shared" si="25"/>
        <v>424661.39713736391</v>
      </c>
      <c r="G432">
        <v>6269.9056978057188</v>
      </c>
      <c r="H432" s="9">
        <f t="shared" si="27"/>
        <v>300000</v>
      </c>
      <c r="I432" s="9">
        <f t="shared" si="26"/>
        <v>-61106.60115359968</v>
      </c>
    </row>
    <row r="433" spans="3:9" x14ac:dyDescent="0.35">
      <c r="C433">
        <v>12437.482833338419</v>
      </c>
      <c r="D433" s="9">
        <f t="shared" si="24"/>
        <v>300000</v>
      </c>
      <c r="E433" s="9">
        <f t="shared" si="25"/>
        <v>370623.79833368934</v>
      </c>
      <c r="G433">
        <v>4467.1773430585654</v>
      </c>
      <c r="H433" s="9">
        <f t="shared" si="27"/>
        <v>223358.86715292826</v>
      </c>
      <c r="I433" s="9">
        <f t="shared" si="26"/>
        <v>-187297.58598590043</v>
      </c>
    </row>
    <row r="434" spans="3:9" x14ac:dyDescent="0.35">
      <c r="C434">
        <v>16893.490401928771</v>
      </c>
      <c r="D434" s="9">
        <f t="shared" si="24"/>
        <v>300000</v>
      </c>
      <c r="E434" s="9">
        <f t="shared" si="25"/>
        <v>550000</v>
      </c>
      <c r="G434">
        <v>4172.3685415204318</v>
      </c>
      <c r="H434" s="9">
        <f t="shared" si="27"/>
        <v>208618.42707602159</v>
      </c>
      <c r="I434" s="9">
        <f t="shared" si="26"/>
        <v>-207934.20209356979</v>
      </c>
    </row>
    <row r="435" spans="3:9" x14ac:dyDescent="0.35">
      <c r="C435">
        <v>14993.560594500565</v>
      </c>
      <c r="D435" s="9">
        <f t="shared" si="24"/>
        <v>300000</v>
      </c>
      <c r="E435" s="9">
        <f t="shared" si="25"/>
        <v>549549.24161503953</v>
      </c>
      <c r="G435">
        <v>6049.4094668416392</v>
      </c>
      <c r="H435" s="9">
        <f t="shared" si="27"/>
        <v>300000</v>
      </c>
      <c r="I435" s="9">
        <f t="shared" si="26"/>
        <v>-76541.337321085273</v>
      </c>
    </row>
    <row r="436" spans="3:9" x14ac:dyDescent="0.35">
      <c r="C436">
        <v>15125.247962889493</v>
      </c>
      <c r="D436" s="9">
        <f t="shared" si="24"/>
        <v>300000</v>
      </c>
      <c r="E436" s="9">
        <f t="shared" si="25"/>
        <v>550000</v>
      </c>
      <c r="G436">
        <v>3287.3317667165134</v>
      </c>
      <c r="H436" s="9">
        <f t="shared" si="27"/>
        <v>164366.58833582565</v>
      </c>
      <c r="I436" s="9">
        <f t="shared" si="26"/>
        <v>-269886.77632984403</v>
      </c>
    </row>
    <row r="437" spans="3:9" x14ac:dyDescent="0.35">
      <c r="C437">
        <v>12426.64876247444</v>
      </c>
      <c r="D437" s="9">
        <f t="shared" si="24"/>
        <v>300000</v>
      </c>
      <c r="E437" s="9">
        <f t="shared" si="25"/>
        <v>369865.41337321082</v>
      </c>
      <c r="G437">
        <v>7924.7718741416666</v>
      </c>
      <c r="H437" s="9">
        <f t="shared" si="27"/>
        <v>300000</v>
      </c>
      <c r="I437" s="9">
        <f t="shared" si="26"/>
        <v>54734.031189916655</v>
      </c>
    </row>
    <row r="438" spans="3:9" x14ac:dyDescent="0.35">
      <c r="C438">
        <v>16951.322977385786</v>
      </c>
      <c r="D438" s="9">
        <f t="shared" si="24"/>
        <v>300000</v>
      </c>
      <c r="E438" s="9">
        <f t="shared" si="25"/>
        <v>550000</v>
      </c>
      <c r="G438">
        <v>7583.8801232947781</v>
      </c>
      <c r="H438" s="9">
        <f t="shared" si="27"/>
        <v>300000</v>
      </c>
      <c r="I438" s="9">
        <f t="shared" si="26"/>
        <v>30871.608630634495</v>
      </c>
    </row>
    <row r="439" spans="3:9" x14ac:dyDescent="0.35">
      <c r="C439">
        <v>13033.661915952025</v>
      </c>
      <c r="D439" s="9">
        <f t="shared" si="24"/>
        <v>300000</v>
      </c>
      <c r="E439" s="9">
        <f t="shared" si="25"/>
        <v>412356.33411664178</v>
      </c>
      <c r="G439">
        <v>7519.791253395184</v>
      </c>
      <c r="H439" s="9">
        <f t="shared" si="27"/>
        <v>300000</v>
      </c>
      <c r="I439" s="9">
        <f t="shared" si="26"/>
        <v>26385.387737662881</v>
      </c>
    </row>
    <row r="440" spans="3:9" x14ac:dyDescent="0.35">
      <c r="C440">
        <v>16489.425336466567</v>
      </c>
      <c r="D440" s="9">
        <f t="shared" si="24"/>
        <v>300000</v>
      </c>
      <c r="E440" s="9">
        <f t="shared" si="25"/>
        <v>550000</v>
      </c>
      <c r="G440">
        <v>4592.303231910153</v>
      </c>
      <c r="H440" s="9">
        <f t="shared" si="27"/>
        <v>229615.16159550764</v>
      </c>
      <c r="I440" s="9">
        <f t="shared" si="26"/>
        <v>-178538.77376628929</v>
      </c>
    </row>
    <row r="441" spans="3:9" x14ac:dyDescent="0.35">
      <c r="C441">
        <v>16499.649037141025</v>
      </c>
      <c r="D441" s="9">
        <f t="shared" si="24"/>
        <v>300000</v>
      </c>
      <c r="E441" s="9">
        <f t="shared" si="25"/>
        <v>550000</v>
      </c>
      <c r="G441">
        <v>4372.4173711355943</v>
      </c>
      <c r="H441" s="9">
        <f t="shared" si="27"/>
        <v>218620.86855677972</v>
      </c>
      <c r="I441" s="9">
        <f t="shared" si="26"/>
        <v>-193930.78402050841</v>
      </c>
    </row>
    <row r="442" spans="3:9" x14ac:dyDescent="0.35">
      <c r="C442">
        <v>16380.169072542496</v>
      </c>
      <c r="D442" s="9">
        <f t="shared" si="24"/>
        <v>300000</v>
      </c>
      <c r="E442" s="9">
        <f t="shared" si="25"/>
        <v>550000</v>
      </c>
      <c r="G442">
        <v>4624.042481765191</v>
      </c>
      <c r="H442" s="9">
        <f t="shared" si="27"/>
        <v>231202.12408825956</v>
      </c>
      <c r="I442" s="9">
        <f t="shared" si="26"/>
        <v>-176317.02627643663</v>
      </c>
    </row>
    <row r="443" spans="3:9" x14ac:dyDescent="0.35">
      <c r="C443">
        <v>16376.964629047518</v>
      </c>
      <c r="D443" s="9">
        <f t="shared" si="24"/>
        <v>300000</v>
      </c>
      <c r="E443" s="9">
        <f t="shared" si="25"/>
        <v>550000</v>
      </c>
      <c r="G443">
        <v>4836.1461226233714</v>
      </c>
      <c r="H443" s="9">
        <f t="shared" si="27"/>
        <v>241807.30613116856</v>
      </c>
      <c r="I443" s="9">
        <f t="shared" si="26"/>
        <v>-161469.771416364</v>
      </c>
    </row>
    <row r="444" spans="3:9" x14ac:dyDescent="0.35">
      <c r="C444">
        <v>16853.816339609974</v>
      </c>
      <c r="D444" s="9">
        <f t="shared" si="24"/>
        <v>300000</v>
      </c>
      <c r="E444" s="9">
        <f t="shared" si="25"/>
        <v>550000</v>
      </c>
      <c r="G444">
        <v>4567.888424329356</v>
      </c>
      <c r="H444" s="9">
        <f t="shared" si="27"/>
        <v>228394.4212164678</v>
      </c>
      <c r="I444" s="9">
        <f t="shared" si="26"/>
        <v>-180247.8102969451</v>
      </c>
    </row>
    <row r="445" spans="3:9" x14ac:dyDescent="0.35">
      <c r="C445">
        <v>13375.164036988434</v>
      </c>
      <c r="D445" s="9">
        <f t="shared" si="24"/>
        <v>300000</v>
      </c>
      <c r="E445" s="9">
        <f t="shared" si="25"/>
        <v>436261.48258919036</v>
      </c>
      <c r="G445">
        <v>6961.149937437056</v>
      </c>
      <c r="H445" s="9">
        <f t="shared" si="27"/>
        <v>300000</v>
      </c>
      <c r="I445" s="9">
        <f t="shared" si="26"/>
        <v>-12719.504379406106</v>
      </c>
    </row>
    <row r="446" spans="3:9" x14ac:dyDescent="0.35">
      <c r="C446">
        <v>14396.313364055299</v>
      </c>
      <c r="D446" s="9">
        <f t="shared" si="24"/>
        <v>300000</v>
      </c>
      <c r="E446" s="9">
        <f t="shared" si="25"/>
        <v>507741.93548387091</v>
      </c>
      <c r="G446">
        <v>4437.4217963194678</v>
      </c>
      <c r="H446" s="9">
        <f t="shared" si="27"/>
        <v>221871.08981597339</v>
      </c>
      <c r="I446" s="9">
        <f t="shared" si="26"/>
        <v>-189380.47425763728</v>
      </c>
    </row>
    <row r="447" spans="3:9" x14ac:dyDescent="0.35">
      <c r="C447">
        <v>13753.288369396039</v>
      </c>
      <c r="D447" s="9">
        <f t="shared" si="24"/>
        <v>300000</v>
      </c>
      <c r="E447" s="9">
        <f t="shared" si="25"/>
        <v>462730.18585772277</v>
      </c>
      <c r="G447">
        <v>7277.0165105136266</v>
      </c>
      <c r="H447" s="9">
        <f t="shared" si="27"/>
        <v>300000</v>
      </c>
      <c r="I447" s="9">
        <f t="shared" si="26"/>
        <v>9391.1557359538856</v>
      </c>
    </row>
    <row r="448" spans="3:9" x14ac:dyDescent="0.35">
      <c r="C448">
        <v>13389.507736442152</v>
      </c>
      <c r="D448" s="9">
        <f t="shared" si="24"/>
        <v>300000</v>
      </c>
      <c r="E448" s="9">
        <f t="shared" si="25"/>
        <v>437265.54155095061</v>
      </c>
      <c r="G448">
        <v>7745.6282235175631</v>
      </c>
      <c r="H448" s="9">
        <f t="shared" si="27"/>
        <v>300000</v>
      </c>
      <c r="I448" s="9">
        <f t="shared" si="26"/>
        <v>42193.975646229461</v>
      </c>
    </row>
    <row r="449" spans="3:9" x14ac:dyDescent="0.35">
      <c r="C449">
        <v>13954.405346842861</v>
      </c>
      <c r="D449" s="9">
        <f t="shared" si="24"/>
        <v>300000</v>
      </c>
      <c r="E449" s="9">
        <f t="shared" si="25"/>
        <v>476808.37427900033</v>
      </c>
      <c r="G449">
        <v>7500.7171849726856</v>
      </c>
      <c r="H449" s="9">
        <f t="shared" si="27"/>
        <v>300000</v>
      </c>
      <c r="I449" s="9">
        <f t="shared" si="26"/>
        <v>25050.202948087943</v>
      </c>
    </row>
    <row r="450" spans="3:9" x14ac:dyDescent="0.35">
      <c r="C450">
        <v>13553.239539780878</v>
      </c>
      <c r="D450" s="9">
        <f t="shared" si="24"/>
        <v>300000</v>
      </c>
      <c r="E450" s="9">
        <f t="shared" si="25"/>
        <v>448726.7677846615</v>
      </c>
      <c r="G450">
        <v>7885.8607745597701</v>
      </c>
      <c r="H450" s="9">
        <f t="shared" si="27"/>
        <v>300000</v>
      </c>
      <c r="I450" s="9">
        <f t="shared" si="26"/>
        <v>52010.254219183931</v>
      </c>
    </row>
    <row r="451" spans="3:9" x14ac:dyDescent="0.35">
      <c r="C451">
        <v>14233.191930906094</v>
      </c>
      <c r="D451" s="9">
        <f t="shared" si="24"/>
        <v>300000</v>
      </c>
      <c r="E451" s="9">
        <f t="shared" si="25"/>
        <v>496323.43516342656</v>
      </c>
      <c r="G451">
        <v>5881.8628498184153</v>
      </c>
      <c r="H451" s="9">
        <f t="shared" si="27"/>
        <v>294093.14249092079</v>
      </c>
      <c r="I451" s="9">
        <f t="shared" si="26"/>
        <v>-88269.600512710924</v>
      </c>
    </row>
    <row r="452" spans="3:9" x14ac:dyDescent="0.35">
      <c r="C452">
        <v>16193.090609454634</v>
      </c>
      <c r="D452" s="9">
        <f t="shared" si="24"/>
        <v>300000</v>
      </c>
      <c r="E452" s="9">
        <f t="shared" si="25"/>
        <v>550000</v>
      </c>
      <c r="G452">
        <v>7629.8104800561541</v>
      </c>
      <c r="H452" s="9">
        <f t="shared" si="27"/>
        <v>300000</v>
      </c>
      <c r="I452" s="9">
        <f t="shared" si="26"/>
        <v>34086.733603930799</v>
      </c>
    </row>
    <row r="453" spans="3:9" x14ac:dyDescent="0.35">
      <c r="C453">
        <v>13527.756584368419</v>
      </c>
      <c r="D453" s="9">
        <f t="shared" si="24"/>
        <v>300000</v>
      </c>
      <c r="E453" s="9">
        <f t="shared" si="25"/>
        <v>446942.96090578928</v>
      </c>
      <c r="G453">
        <v>3105.8992278817104</v>
      </c>
      <c r="H453" s="9">
        <f t="shared" si="27"/>
        <v>155294.96139408552</v>
      </c>
      <c r="I453" s="9">
        <f t="shared" si="26"/>
        <v>-282587.05404828023</v>
      </c>
    </row>
    <row r="454" spans="3:9" x14ac:dyDescent="0.35">
      <c r="C454">
        <v>13743.82763145848</v>
      </c>
      <c r="D454" s="9">
        <f t="shared" si="24"/>
        <v>300000</v>
      </c>
      <c r="E454" s="9">
        <f t="shared" si="25"/>
        <v>462067.93420209363</v>
      </c>
      <c r="G454">
        <v>3235.4503006073182</v>
      </c>
      <c r="H454" s="9">
        <f t="shared" si="27"/>
        <v>161772.5150303659</v>
      </c>
      <c r="I454" s="9">
        <f t="shared" si="26"/>
        <v>-273518.47895748774</v>
      </c>
    </row>
    <row r="455" spans="3:9" x14ac:dyDescent="0.35">
      <c r="C455">
        <v>13345.866267891477</v>
      </c>
      <c r="D455" s="9">
        <f t="shared" si="24"/>
        <v>300000</v>
      </c>
      <c r="E455" s="9">
        <f t="shared" si="25"/>
        <v>434210.63875240344</v>
      </c>
      <c r="G455">
        <v>4516.6173284096803</v>
      </c>
      <c r="H455" s="9">
        <f t="shared" si="27"/>
        <v>225830.86642048403</v>
      </c>
      <c r="I455" s="9">
        <f t="shared" si="26"/>
        <v>-183836.78701132239</v>
      </c>
    </row>
    <row r="456" spans="3:9" x14ac:dyDescent="0.35">
      <c r="C456">
        <v>15553.575243385112</v>
      </c>
      <c r="D456" s="9">
        <f t="shared" si="24"/>
        <v>300000</v>
      </c>
      <c r="E456" s="9">
        <f t="shared" si="25"/>
        <v>550000</v>
      </c>
      <c r="G456">
        <v>4128.5744804223759</v>
      </c>
      <c r="H456" s="9">
        <f t="shared" si="27"/>
        <v>206428.7240211188</v>
      </c>
      <c r="I456" s="9">
        <f t="shared" si="26"/>
        <v>-210999.78637043369</v>
      </c>
    </row>
    <row r="457" spans="3:9" x14ac:dyDescent="0.35">
      <c r="C457">
        <v>13094.088564714499</v>
      </c>
      <c r="D457" s="9">
        <f t="shared" si="24"/>
        <v>300000</v>
      </c>
      <c r="E457" s="9">
        <f t="shared" si="25"/>
        <v>416586.19953001488</v>
      </c>
      <c r="G457">
        <v>7033.6313974425493</v>
      </c>
      <c r="H457" s="9">
        <f t="shared" si="27"/>
        <v>300000</v>
      </c>
      <c r="I457" s="9">
        <f t="shared" si="26"/>
        <v>-7645.802179021528</v>
      </c>
    </row>
    <row r="458" spans="3:9" x14ac:dyDescent="0.35">
      <c r="C458">
        <v>13868.037965025787</v>
      </c>
      <c r="D458" s="9">
        <f t="shared" si="24"/>
        <v>300000</v>
      </c>
      <c r="E458" s="9">
        <f t="shared" si="25"/>
        <v>470762.65755180514</v>
      </c>
      <c r="G458">
        <v>4275.2159184545426</v>
      </c>
      <c r="H458" s="9">
        <f t="shared" si="27"/>
        <v>213760.79592272712</v>
      </c>
      <c r="I458" s="9">
        <f t="shared" si="26"/>
        <v>-200734.885708182</v>
      </c>
    </row>
    <row r="459" spans="3:9" x14ac:dyDescent="0.35">
      <c r="C459">
        <v>16200.415051728873</v>
      </c>
      <c r="D459" s="9">
        <f t="shared" si="24"/>
        <v>300000</v>
      </c>
      <c r="E459" s="9">
        <f t="shared" si="25"/>
        <v>550000</v>
      </c>
      <c r="G459">
        <v>3643.9405499435406</v>
      </c>
      <c r="H459" s="9">
        <f t="shared" si="27"/>
        <v>182197.02749717704</v>
      </c>
      <c r="I459" s="9">
        <f t="shared" si="26"/>
        <v>-244924.16150395214</v>
      </c>
    </row>
    <row r="460" spans="3:9" x14ac:dyDescent="0.35">
      <c r="C460">
        <v>13217.078157902768</v>
      </c>
      <c r="D460" s="9">
        <f t="shared" ref="D460:D523" si="28">50*MIN(C460,6000)</f>
        <v>300000</v>
      </c>
      <c r="E460" s="9">
        <f t="shared" ref="E460:E523" si="29">70*MIN(C460,15000)-500000</f>
        <v>425195.47105319379</v>
      </c>
      <c r="G460">
        <v>7868.9230018005919</v>
      </c>
      <c r="H460" s="9">
        <f t="shared" si="27"/>
        <v>300000</v>
      </c>
      <c r="I460" s="9">
        <f t="shared" ref="I460:I523" si="30">70*MIN(G460,15000)-500000</f>
        <v>50824.610126041458</v>
      </c>
    </row>
    <row r="461" spans="3:9" x14ac:dyDescent="0.35">
      <c r="C461">
        <v>13697.592089602344</v>
      </c>
      <c r="D461" s="9">
        <f t="shared" si="28"/>
        <v>300000</v>
      </c>
      <c r="E461" s="9">
        <f t="shared" si="29"/>
        <v>458831.446272164</v>
      </c>
      <c r="G461">
        <v>3861.5375225074008</v>
      </c>
      <c r="H461" s="9">
        <f t="shared" ref="H461:H524" si="31">50*MIN(G461,6000)</f>
        <v>193076.87612537004</v>
      </c>
      <c r="I461" s="9">
        <f t="shared" si="30"/>
        <v>-229692.37342448195</v>
      </c>
    </row>
    <row r="462" spans="3:9" x14ac:dyDescent="0.35">
      <c r="C462">
        <v>14448.652607806634</v>
      </c>
      <c r="D462" s="9">
        <f t="shared" si="28"/>
        <v>300000</v>
      </c>
      <c r="E462" s="9">
        <f t="shared" si="29"/>
        <v>511405.68254646438</v>
      </c>
      <c r="G462">
        <v>5397.0763267921993</v>
      </c>
      <c r="H462" s="9">
        <f t="shared" si="31"/>
        <v>269853.81633960997</v>
      </c>
      <c r="I462" s="9">
        <f t="shared" si="30"/>
        <v>-122204.65712454607</v>
      </c>
    </row>
    <row r="463" spans="3:9" x14ac:dyDescent="0.35">
      <c r="C463">
        <v>12764.18347727897</v>
      </c>
      <c r="D463" s="9">
        <f t="shared" si="28"/>
        <v>300000</v>
      </c>
      <c r="E463" s="9">
        <f t="shared" si="29"/>
        <v>393492.84340952791</v>
      </c>
      <c r="G463">
        <v>3204.626606036561</v>
      </c>
      <c r="H463" s="9">
        <f t="shared" si="31"/>
        <v>160231.33030182804</v>
      </c>
      <c r="I463" s="9">
        <f t="shared" si="30"/>
        <v>-275676.13757744071</v>
      </c>
    </row>
    <row r="464" spans="3:9" x14ac:dyDescent="0.35">
      <c r="C464">
        <v>12174.108096560563</v>
      </c>
      <c r="D464" s="9">
        <f t="shared" si="28"/>
        <v>300000</v>
      </c>
      <c r="E464" s="9">
        <f t="shared" si="29"/>
        <v>352187.56675923942</v>
      </c>
      <c r="G464">
        <v>7175.5424665059363</v>
      </c>
      <c r="H464" s="9">
        <f t="shared" si="31"/>
        <v>300000</v>
      </c>
      <c r="I464" s="9">
        <f t="shared" si="30"/>
        <v>2287.972655415535</v>
      </c>
    </row>
    <row r="465" spans="3:9" x14ac:dyDescent="0.35">
      <c r="C465">
        <v>15187.810907315286</v>
      </c>
      <c r="D465" s="9">
        <f t="shared" si="28"/>
        <v>300000</v>
      </c>
      <c r="E465" s="9">
        <f t="shared" si="29"/>
        <v>550000</v>
      </c>
      <c r="G465">
        <v>6673.8181707205422</v>
      </c>
      <c r="H465" s="9">
        <f t="shared" si="31"/>
        <v>300000</v>
      </c>
      <c r="I465" s="9">
        <f t="shared" si="30"/>
        <v>-32832.728049562022</v>
      </c>
    </row>
    <row r="466" spans="3:9" x14ac:dyDescent="0.35">
      <c r="C466">
        <v>16974.669637134924</v>
      </c>
      <c r="D466" s="9">
        <f t="shared" si="28"/>
        <v>300000</v>
      </c>
      <c r="E466" s="9">
        <f t="shared" si="29"/>
        <v>550000</v>
      </c>
      <c r="G466">
        <v>5672.6584673604539</v>
      </c>
      <c r="H466" s="9">
        <f t="shared" si="31"/>
        <v>283632.92336802272</v>
      </c>
      <c r="I466" s="9">
        <f t="shared" si="30"/>
        <v>-102913.90728476824</v>
      </c>
    </row>
    <row r="467" spans="3:9" x14ac:dyDescent="0.35">
      <c r="C467">
        <v>12956.755272072513</v>
      </c>
      <c r="D467" s="9">
        <f t="shared" si="28"/>
        <v>300000</v>
      </c>
      <c r="E467" s="9">
        <f t="shared" si="29"/>
        <v>406972.86904507584</v>
      </c>
      <c r="G467">
        <v>3516.2205877864926</v>
      </c>
      <c r="H467" s="9">
        <f t="shared" si="31"/>
        <v>175811.02938932463</v>
      </c>
      <c r="I467" s="9">
        <f t="shared" si="30"/>
        <v>-253864.55885494553</v>
      </c>
    </row>
    <row r="468" spans="3:9" x14ac:dyDescent="0.35">
      <c r="C468">
        <v>12004.42518387402</v>
      </c>
      <c r="D468" s="9">
        <f t="shared" si="28"/>
        <v>300000</v>
      </c>
      <c r="E468" s="9">
        <f t="shared" si="29"/>
        <v>340309.76287118136</v>
      </c>
      <c r="G468">
        <v>5999.9694814905242</v>
      </c>
      <c r="H468" s="9">
        <f t="shared" si="31"/>
        <v>299998.47407452622</v>
      </c>
      <c r="I468" s="9">
        <f t="shared" si="30"/>
        <v>-80002.136295663309</v>
      </c>
    </row>
    <row r="469" spans="3:9" x14ac:dyDescent="0.35">
      <c r="C469">
        <v>13309.701834162419</v>
      </c>
      <c r="D469" s="9">
        <f t="shared" si="28"/>
        <v>300000</v>
      </c>
      <c r="E469" s="9">
        <f t="shared" si="29"/>
        <v>431679.12839136936</v>
      </c>
      <c r="G469">
        <v>6401.1352885525066</v>
      </c>
      <c r="H469" s="9">
        <f t="shared" si="31"/>
        <v>300000</v>
      </c>
      <c r="I469" s="9">
        <f t="shared" si="30"/>
        <v>-51920.529801324534</v>
      </c>
    </row>
    <row r="470" spans="3:9" x14ac:dyDescent="0.35">
      <c r="C470">
        <v>13255.684072389904</v>
      </c>
      <c r="D470" s="9">
        <f t="shared" si="28"/>
        <v>300000</v>
      </c>
      <c r="E470" s="9">
        <f t="shared" si="29"/>
        <v>427897.8850672933</v>
      </c>
      <c r="G470">
        <v>6452.8641621143224</v>
      </c>
      <c r="H470" s="9">
        <f t="shared" si="31"/>
        <v>300000</v>
      </c>
      <c r="I470" s="9">
        <f t="shared" si="30"/>
        <v>-48299.508651997428</v>
      </c>
    </row>
    <row r="471" spans="3:9" x14ac:dyDescent="0.35">
      <c r="C471">
        <v>16713.888973662528</v>
      </c>
      <c r="D471" s="9">
        <f t="shared" si="28"/>
        <v>300000</v>
      </c>
      <c r="E471" s="9">
        <f t="shared" si="29"/>
        <v>550000</v>
      </c>
      <c r="G471">
        <v>5596.3621936704612</v>
      </c>
      <c r="H471" s="9">
        <f t="shared" si="31"/>
        <v>279818.10968352307</v>
      </c>
      <c r="I471" s="9">
        <f t="shared" si="30"/>
        <v>-108254.6464430677</v>
      </c>
    </row>
    <row r="472" spans="3:9" x14ac:dyDescent="0.35">
      <c r="C472">
        <v>14310.251167332988</v>
      </c>
      <c r="D472" s="9">
        <f t="shared" si="28"/>
        <v>300000</v>
      </c>
      <c r="E472" s="9">
        <f t="shared" si="29"/>
        <v>501717.58171330916</v>
      </c>
      <c r="G472">
        <v>3577.1050141911069</v>
      </c>
      <c r="H472" s="9">
        <f t="shared" si="31"/>
        <v>178855.25070955534</v>
      </c>
      <c r="I472" s="9">
        <f t="shared" si="30"/>
        <v>-249602.64900662252</v>
      </c>
    </row>
    <row r="473" spans="3:9" x14ac:dyDescent="0.35">
      <c r="C473">
        <v>16531.693472090825</v>
      </c>
      <c r="D473" s="9">
        <f t="shared" si="28"/>
        <v>300000</v>
      </c>
      <c r="E473" s="9">
        <f t="shared" si="29"/>
        <v>550000</v>
      </c>
      <c r="G473">
        <v>5976.7754142887661</v>
      </c>
      <c r="H473" s="9">
        <f t="shared" si="31"/>
        <v>298838.77071443829</v>
      </c>
      <c r="I473" s="9">
        <f t="shared" si="30"/>
        <v>-81625.720999786397</v>
      </c>
    </row>
    <row r="474" spans="3:9" x14ac:dyDescent="0.35">
      <c r="C474">
        <v>15565.935239722892</v>
      </c>
      <c r="D474" s="9">
        <f t="shared" si="28"/>
        <v>300000</v>
      </c>
      <c r="E474" s="9">
        <f t="shared" si="29"/>
        <v>550000</v>
      </c>
      <c r="G474">
        <v>4525.7728812524792</v>
      </c>
      <c r="H474" s="9">
        <f t="shared" si="31"/>
        <v>226288.64406262396</v>
      </c>
      <c r="I474" s="9">
        <f t="shared" si="30"/>
        <v>-183195.89831232646</v>
      </c>
    </row>
    <row r="475" spans="3:9" x14ac:dyDescent="0.35">
      <c r="C475">
        <v>16678.029725028231</v>
      </c>
      <c r="D475" s="9">
        <f t="shared" si="28"/>
        <v>300000</v>
      </c>
      <c r="E475" s="9">
        <f t="shared" si="29"/>
        <v>550000</v>
      </c>
      <c r="G475">
        <v>4815.6987212744534</v>
      </c>
      <c r="H475" s="9">
        <f t="shared" si="31"/>
        <v>240784.93606372268</v>
      </c>
      <c r="I475" s="9">
        <f t="shared" si="30"/>
        <v>-162901.08951078827</v>
      </c>
    </row>
    <row r="476" spans="3:9" x14ac:dyDescent="0.35">
      <c r="C476">
        <v>15267.159031952879</v>
      </c>
      <c r="D476" s="9">
        <f t="shared" si="28"/>
        <v>300000</v>
      </c>
      <c r="E476" s="9">
        <f t="shared" si="29"/>
        <v>550000</v>
      </c>
      <c r="G476">
        <v>4090.4263435773796</v>
      </c>
      <c r="H476" s="9">
        <f t="shared" si="31"/>
        <v>204521.31717886898</v>
      </c>
      <c r="I476" s="9">
        <f t="shared" si="30"/>
        <v>-213670.15594958345</v>
      </c>
    </row>
    <row r="477" spans="3:9" x14ac:dyDescent="0.35">
      <c r="C477">
        <v>16513.534958952605</v>
      </c>
      <c r="D477" s="9">
        <f t="shared" si="28"/>
        <v>300000</v>
      </c>
      <c r="E477" s="9">
        <f t="shared" si="29"/>
        <v>550000</v>
      </c>
      <c r="G477">
        <v>4463.5151219214458</v>
      </c>
      <c r="H477" s="9">
        <f t="shared" si="31"/>
        <v>223175.75609607229</v>
      </c>
      <c r="I477" s="9">
        <f t="shared" si="30"/>
        <v>-187553.94146549876</v>
      </c>
    </row>
    <row r="478" spans="3:9" x14ac:dyDescent="0.35">
      <c r="C478">
        <v>15861.201818903166</v>
      </c>
      <c r="D478" s="9">
        <f t="shared" si="28"/>
        <v>300000</v>
      </c>
      <c r="E478" s="9">
        <f t="shared" si="29"/>
        <v>550000</v>
      </c>
      <c r="G478">
        <v>5361.9800408948031</v>
      </c>
      <c r="H478" s="9">
        <f t="shared" si="31"/>
        <v>268099.00204474013</v>
      </c>
      <c r="I478" s="9">
        <f t="shared" si="30"/>
        <v>-124661.39713736379</v>
      </c>
    </row>
    <row r="479" spans="3:9" x14ac:dyDescent="0.35">
      <c r="C479">
        <v>13673.177282021546</v>
      </c>
      <c r="D479" s="9">
        <f t="shared" si="28"/>
        <v>300000</v>
      </c>
      <c r="E479" s="9">
        <f t="shared" si="29"/>
        <v>457122.40974150831</v>
      </c>
      <c r="G479">
        <v>4286.9655446028019</v>
      </c>
      <c r="H479" s="9">
        <f t="shared" si="31"/>
        <v>214348.27723014008</v>
      </c>
      <c r="I479" s="9">
        <f t="shared" si="30"/>
        <v>-199912.41187780385</v>
      </c>
    </row>
    <row r="480" spans="3:9" x14ac:dyDescent="0.35">
      <c r="C480">
        <v>14827.692495498521</v>
      </c>
      <c r="D480" s="9">
        <f t="shared" si="28"/>
        <v>300000</v>
      </c>
      <c r="E480" s="9">
        <f t="shared" si="29"/>
        <v>537938.47468489641</v>
      </c>
      <c r="G480">
        <v>7129.9172948393198</v>
      </c>
      <c r="H480" s="9">
        <f t="shared" si="31"/>
        <v>300000</v>
      </c>
      <c r="I480" s="9">
        <f t="shared" si="30"/>
        <v>-905.78936124761822</v>
      </c>
    </row>
    <row r="481" spans="3:9" x14ac:dyDescent="0.35">
      <c r="C481">
        <v>13625.415814691611</v>
      </c>
      <c r="D481" s="9">
        <f t="shared" si="28"/>
        <v>300000</v>
      </c>
      <c r="E481" s="9">
        <f t="shared" si="29"/>
        <v>453779.10702841275</v>
      </c>
      <c r="G481">
        <v>3807.0619830927458</v>
      </c>
      <c r="H481" s="9">
        <f t="shared" si="31"/>
        <v>190353.09915463728</v>
      </c>
      <c r="I481" s="9">
        <f t="shared" si="30"/>
        <v>-233505.66118350782</v>
      </c>
    </row>
    <row r="482" spans="3:9" x14ac:dyDescent="0.35">
      <c r="C482">
        <v>14849.818414868618</v>
      </c>
      <c r="D482" s="9">
        <f t="shared" si="28"/>
        <v>300000</v>
      </c>
      <c r="E482" s="9">
        <f t="shared" si="29"/>
        <v>539487.28904080321</v>
      </c>
      <c r="G482">
        <v>3478.2250434888761</v>
      </c>
      <c r="H482" s="9">
        <f t="shared" si="31"/>
        <v>173911.2521744438</v>
      </c>
      <c r="I482" s="9">
        <f t="shared" si="30"/>
        <v>-256524.24695577868</v>
      </c>
    </row>
    <row r="483" spans="3:9" x14ac:dyDescent="0.35">
      <c r="C483">
        <v>12618.457594531083</v>
      </c>
      <c r="D483" s="9">
        <f t="shared" si="28"/>
        <v>300000</v>
      </c>
      <c r="E483" s="9">
        <f t="shared" si="29"/>
        <v>383292.03161717579</v>
      </c>
      <c r="G483">
        <v>6897.2136600848416</v>
      </c>
      <c r="H483" s="9">
        <f t="shared" si="31"/>
        <v>300000</v>
      </c>
      <c r="I483" s="9">
        <f t="shared" si="30"/>
        <v>-17195.043794061057</v>
      </c>
    </row>
    <row r="484" spans="3:9" x14ac:dyDescent="0.35">
      <c r="C484">
        <v>14604.144413586841</v>
      </c>
      <c r="D484" s="9">
        <f t="shared" si="28"/>
        <v>300000</v>
      </c>
      <c r="E484" s="9">
        <f t="shared" si="29"/>
        <v>522290.10895107884</v>
      </c>
      <c r="G484">
        <v>7221.167638172552</v>
      </c>
      <c r="H484" s="9">
        <f t="shared" si="31"/>
        <v>300000</v>
      </c>
      <c r="I484" s="9">
        <f t="shared" si="30"/>
        <v>5481.73467207863</v>
      </c>
    </row>
    <row r="485" spans="3:9" x14ac:dyDescent="0.35">
      <c r="C485">
        <v>16421.369060335091</v>
      </c>
      <c r="D485" s="9">
        <f t="shared" si="28"/>
        <v>300000</v>
      </c>
      <c r="E485" s="9">
        <f t="shared" si="29"/>
        <v>550000</v>
      </c>
      <c r="G485">
        <v>3372.6310007019256</v>
      </c>
      <c r="H485" s="9">
        <f t="shared" si="31"/>
        <v>168631.55003509627</v>
      </c>
      <c r="I485" s="9">
        <f t="shared" si="30"/>
        <v>-263915.82995086524</v>
      </c>
    </row>
    <row r="486" spans="3:9" x14ac:dyDescent="0.35">
      <c r="C486">
        <v>14197.180089724417</v>
      </c>
      <c r="D486" s="9">
        <f t="shared" si="28"/>
        <v>300000</v>
      </c>
      <c r="E486" s="9">
        <f t="shared" si="29"/>
        <v>493802.60628070927</v>
      </c>
      <c r="G486">
        <v>4453.2914212469859</v>
      </c>
      <c r="H486" s="9">
        <f t="shared" si="31"/>
        <v>222664.57106234931</v>
      </c>
      <c r="I486" s="9">
        <f t="shared" si="30"/>
        <v>-188269.60051271098</v>
      </c>
    </row>
    <row r="487" spans="3:9" x14ac:dyDescent="0.35">
      <c r="C487">
        <v>14037.415692617573</v>
      </c>
      <c r="D487" s="9">
        <f t="shared" si="28"/>
        <v>300000</v>
      </c>
      <c r="E487" s="9">
        <f t="shared" si="29"/>
        <v>482619.0984832301</v>
      </c>
      <c r="G487">
        <v>7387.6461073641167</v>
      </c>
      <c r="H487" s="9">
        <f t="shared" si="31"/>
        <v>300000</v>
      </c>
      <c r="I487" s="9">
        <f t="shared" si="30"/>
        <v>17135.227515488164</v>
      </c>
    </row>
    <row r="488" spans="3:9" x14ac:dyDescent="0.35">
      <c r="C488">
        <v>13966.154972991118</v>
      </c>
      <c r="D488" s="9">
        <f t="shared" si="28"/>
        <v>300000</v>
      </c>
      <c r="E488" s="9">
        <f t="shared" si="29"/>
        <v>477630.84810937825</v>
      </c>
      <c r="G488">
        <v>3207.9836420789206</v>
      </c>
      <c r="H488" s="9">
        <f t="shared" si="31"/>
        <v>160399.18210394602</v>
      </c>
      <c r="I488" s="9">
        <f t="shared" si="30"/>
        <v>-275441.14505447552</v>
      </c>
    </row>
    <row r="489" spans="3:9" x14ac:dyDescent="0.35">
      <c r="C489">
        <v>16472.945341349528</v>
      </c>
      <c r="D489" s="9">
        <f t="shared" si="28"/>
        <v>300000</v>
      </c>
      <c r="E489" s="9">
        <f t="shared" si="29"/>
        <v>550000</v>
      </c>
      <c r="G489">
        <v>4921.5979491561629</v>
      </c>
      <c r="H489" s="9">
        <f t="shared" si="31"/>
        <v>246079.89745780814</v>
      </c>
      <c r="I489" s="9">
        <f t="shared" si="30"/>
        <v>-155488.14355906862</v>
      </c>
    </row>
    <row r="490" spans="3:9" x14ac:dyDescent="0.35">
      <c r="C490">
        <v>12647.2975859859</v>
      </c>
      <c r="D490" s="9">
        <f t="shared" si="28"/>
        <v>300000</v>
      </c>
      <c r="E490" s="9">
        <f t="shared" si="29"/>
        <v>385310.83101901296</v>
      </c>
      <c r="G490">
        <v>5623.3710745567187</v>
      </c>
      <c r="H490" s="9">
        <f t="shared" si="31"/>
        <v>281168.55372783594</v>
      </c>
      <c r="I490" s="9">
        <f t="shared" si="30"/>
        <v>-106364.02478102967</v>
      </c>
    </row>
    <row r="491" spans="3:9" x14ac:dyDescent="0.35">
      <c r="C491">
        <v>13819.208349864193</v>
      </c>
      <c r="D491" s="9">
        <f t="shared" si="28"/>
        <v>300000</v>
      </c>
      <c r="E491" s="9">
        <f t="shared" si="29"/>
        <v>467344.58449049352</v>
      </c>
      <c r="G491">
        <v>3390.4843287453841</v>
      </c>
      <c r="H491" s="9">
        <f t="shared" si="31"/>
        <v>169524.21643726921</v>
      </c>
      <c r="I491" s="9">
        <f t="shared" si="30"/>
        <v>-262666.09698782314</v>
      </c>
    </row>
    <row r="492" spans="3:9" x14ac:dyDescent="0.35">
      <c r="C492">
        <v>16381.084627826776</v>
      </c>
      <c r="D492" s="9">
        <f t="shared" si="28"/>
        <v>300000</v>
      </c>
      <c r="E492" s="9">
        <f t="shared" si="29"/>
        <v>550000</v>
      </c>
      <c r="G492">
        <v>5771.2332529679252</v>
      </c>
      <c r="H492" s="9">
        <f t="shared" si="31"/>
        <v>288561.66264839628</v>
      </c>
      <c r="I492" s="9">
        <f t="shared" si="30"/>
        <v>-96013.672292245261</v>
      </c>
    </row>
    <row r="493" spans="3:9" x14ac:dyDescent="0.35">
      <c r="C493">
        <v>12472.121341593676</v>
      </c>
      <c r="D493" s="9">
        <f t="shared" si="28"/>
        <v>300000</v>
      </c>
      <c r="E493" s="9">
        <f t="shared" si="29"/>
        <v>373048.49391155737</v>
      </c>
      <c r="G493">
        <v>3182.3480941190833</v>
      </c>
      <c r="H493" s="9">
        <f t="shared" si="31"/>
        <v>159117.40470595416</v>
      </c>
      <c r="I493" s="9">
        <f t="shared" si="30"/>
        <v>-277235.63341166417</v>
      </c>
    </row>
    <row r="494" spans="3:9" x14ac:dyDescent="0.35">
      <c r="C494">
        <v>14341.685232093265</v>
      </c>
      <c r="D494" s="9">
        <f t="shared" si="28"/>
        <v>300000</v>
      </c>
      <c r="E494" s="9">
        <f t="shared" si="29"/>
        <v>503917.96624652855</v>
      </c>
      <c r="G494">
        <v>4992.0957060457167</v>
      </c>
      <c r="H494" s="9">
        <f t="shared" si="31"/>
        <v>249604.78530228583</v>
      </c>
      <c r="I494" s="9">
        <f t="shared" si="30"/>
        <v>-150553.30057679984</v>
      </c>
    </row>
    <row r="495" spans="3:9" x14ac:dyDescent="0.35">
      <c r="C495">
        <v>16388.714255195777</v>
      </c>
      <c r="D495" s="9">
        <f t="shared" si="28"/>
        <v>300000</v>
      </c>
      <c r="E495" s="9">
        <f t="shared" si="29"/>
        <v>550000</v>
      </c>
      <c r="G495">
        <v>6825.6477553636287</v>
      </c>
      <c r="H495" s="9">
        <f t="shared" si="31"/>
        <v>300000</v>
      </c>
      <c r="I495" s="9">
        <f t="shared" si="30"/>
        <v>-22204.657124546007</v>
      </c>
    </row>
    <row r="496" spans="3:9" x14ac:dyDescent="0.35">
      <c r="C496">
        <v>15530.533768730735</v>
      </c>
      <c r="D496" s="9">
        <f t="shared" si="28"/>
        <v>300000</v>
      </c>
      <c r="E496" s="9">
        <f t="shared" si="29"/>
        <v>550000</v>
      </c>
      <c r="G496">
        <v>3860.9271523178809</v>
      </c>
      <c r="H496" s="9">
        <f t="shared" si="31"/>
        <v>193046.35761589406</v>
      </c>
      <c r="I496" s="9">
        <f t="shared" si="30"/>
        <v>-229735.09933774831</v>
      </c>
    </row>
    <row r="497" spans="3:9" x14ac:dyDescent="0.35">
      <c r="C497">
        <v>15007.446516312142</v>
      </c>
      <c r="D497" s="9">
        <f t="shared" si="28"/>
        <v>300000</v>
      </c>
      <c r="E497" s="9">
        <f t="shared" si="29"/>
        <v>550000</v>
      </c>
      <c r="G497">
        <v>4675.6187627796262</v>
      </c>
      <c r="H497" s="9">
        <f t="shared" si="31"/>
        <v>233780.93813898132</v>
      </c>
      <c r="I497" s="9">
        <f t="shared" si="30"/>
        <v>-172706.68660542619</v>
      </c>
    </row>
    <row r="498" spans="3:9" x14ac:dyDescent="0.35">
      <c r="C498">
        <v>15115.176854762412</v>
      </c>
      <c r="D498" s="9">
        <f t="shared" si="28"/>
        <v>300000</v>
      </c>
      <c r="E498" s="9">
        <f t="shared" si="29"/>
        <v>550000</v>
      </c>
      <c r="G498">
        <v>5383.3429975280005</v>
      </c>
      <c r="H498" s="9">
        <f t="shared" si="31"/>
        <v>269167.14987640001</v>
      </c>
      <c r="I498" s="9">
        <f t="shared" si="30"/>
        <v>-123165.99017303996</v>
      </c>
    </row>
    <row r="499" spans="3:9" x14ac:dyDescent="0.35">
      <c r="C499">
        <v>13939.603869747001</v>
      </c>
      <c r="D499" s="9">
        <f t="shared" si="28"/>
        <v>300000</v>
      </c>
      <c r="E499" s="9">
        <f t="shared" si="29"/>
        <v>475772.27088229009</v>
      </c>
      <c r="G499">
        <v>4564.8365733817554</v>
      </c>
      <c r="H499" s="9">
        <f t="shared" si="31"/>
        <v>228241.82866908779</v>
      </c>
      <c r="I499" s="9">
        <f t="shared" si="30"/>
        <v>-180461.43986327713</v>
      </c>
    </row>
    <row r="500" spans="3:9" x14ac:dyDescent="0.35">
      <c r="C500">
        <v>13233.405560472427</v>
      </c>
      <c r="D500" s="9">
        <f t="shared" si="28"/>
        <v>300000</v>
      </c>
      <c r="E500" s="9">
        <f t="shared" si="29"/>
        <v>426338.38923306996</v>
      </c>
      <c r="G500">
        <v>3328.68434705649</v>
      </c>
      <c r="H500" s="9">
        <f t="shared" si="31"/>
        <v>166434.21735282449</v>
      </c>
      <c r="I500" s="9">
        <f t="shared" si="30"/>
        <v>-266992.09570604574</v>
      </c>
    </row>
    <row r="501" spans="3:9" x14ac:dyDescent="0.35">
      <c r="C501">
        <v>15919.33957945494</v>
      </c>
      <c r="D501" s="9">
        <f t="shared" si="28"/>
        <v>300000</v>
      </c>
      <c r="E501" s="9">
        <f t="shared" si="29"/>
        <v>550000</v>
      </c>
      <c r="G501">
        <v>4945.0972014526815</v>
      </c>
      <c r="H501" s="9">
        <f t="shared" si="31"/>
        <v>247254.86007263407</v>
      </c>
      <c r="I501" s="9">
        <f t="shared" si="30"/>
        <v>-153843.19589831232</v>
      </c>
    </row>
    <row r="502" spans="3:9" x14ac:dyDescent="0.35">
      <c r="C502">
        <v>15054.13983581042</v>
      </c>
      <c r="D502" s="9">
        <f t="shared" si="28"/>
        <v>300000</v>
      </c>
      <c r="E502" s="9">
        <f t="shared" si="29"/>
        <v>550000</v>
      </c>
      <c r="G502">
        <v>3370.6472975859861</v>
      </c>
      <c r="H502" s="9">
        <f t="shared" si="31"/>
        <v>168532.3648792993</v>
      </c>
      <c r="I502" s="9">
        <f t="shared" si="30"/>
        <v>-264054.68916898099</v>
      </c>
    </row>
    <row r="503" spans="3:9" x14ac:dyDescent="0.35">
      <c r="C503">
        <v>16890.285958433789</v>
      </c>
      <c r="D503" s="9">
        <f t="shared" si="28"/>
        <v>300000</v>
      </c>
      <c r="E503" s="9">
        <f t="shared" si="29"/>
        <v>550000</v>
      </c>
      <c r="G503">
        <v>4770.8365123447365</v>
      </c>
      <c r="H503" s="9">
        <f t="shared" si="31"/>
        <v>238541.82561723684</v>
      </c>
      <c r="I503" s="9">
        <f t="shared" si="30"/>
        <v>-166041.44413586846</v>
      </c>
    </row>
    <row r="504" spans="3:9" x14ac:dyDescent="0.35">
      <c r="C504">
        <v>13706.747642445143</v>
      </c>
      <c r="D504" s="9">
        <f t="shared" si="28"/>
        <v>300000</v>
      </c>
      <c r="E504" s="9">
        <f t="shared" si="29"/>
        <v>459472.33497116005</v>
      </c>
      <c r="G504">
        <v>3536.2102114932704</v>
      </c>
      <c r="H504" s="9">
        <f t="shared" si="31"/>
        <v>176810.51057466352</v>
      </c>
      <c r="I504" s="9">
        <f t="shared" si="30"/>
        <v>-252465.28519547108</v>
      </c>
    </row>
    <row r="505" spans="3:9" x14ac:dyDescent="0.35">
      <c r="C505">
        <v>13643.116550187689</v>
      </c>
      <c r="D505" s="9">
        <f t="shared" si="28"/>
        <v>300000</v>
      </c>
      <c r="E505" s="9">
        <f t="shared" si="29"/>
        <v>455018.1585131383</v>
      </c>
      <c r="G505">
        <v>6855.4033021027244</v>
      </c>
      <c r="H505" s="9">
        <f t="shared" si="31"/>
        <v>300000</v>
      </c>
      <c r="I505" s="9">
        <f t="shared" si="30"/>
        <v>-20121.768852809269</v>
      </c>
    </row>
    <row r="506" spans="3:9" x14ac:dyDescent="0.35">
      <c r="C506">
        <v>13093.020416882839</v>
      </c>
      <c r="D506" s="9">
        <f t="shared" si="28"/>
        <v>300000</v>
      </c>
      <c r="E506" s="9">
        <f t="shared" si="29"/>
        <v>416511.42918179871</v>
      </c>
      <c r="G506">
        <v>5012.5431073946347</v>
      </c>
      <c r="H506" s="9">
        <f t="shared" si="31"/>
        <v>250627.15536973174</v>
      </c>
      <c r="I506" s="9">
        <f t="shared" si="30"/>
        <v>-149121.98248237558</v>
      </c>
    </row>
    <row r="507" spans="3:9" x14ac:dyDescent="0.35">
      <c r="C507">
        <v>13214.026306955169</v>
      </c>
      <c r="D507" s="9">
        <f t="shared" si="28"/>
        <v>300000</v>
      </c>
      <c r="E507" s="9">
        <f t="shared" si="29"/>
        <v>424981.84148686181</v>
      </c>
      <c r="G507">
        <v>7815.9733878597372</v>
      </c>
      <c r="H507" s="9">
        <f t="shared" si="31"/>
        <v>300000</v>
      </c>
      <c r="I507" s="9">
        <f t="shared" si="30"/>
        <v>47118.137150181574</v>
      </c>
    </row>
    <row r="508" spans="3:9" x14ac:dyDescent="0.35">
      <c r="C508">
        <v>16195.837275307473</v>
      </c>
      <c r="D508" s="9">
        <f t="shared" si="28"/>
        <v>300000</v>
      </c>
      <c r="E508" s="9">
        <f t="shared" si="29"/>
        <v>550000</v>
      </c>
      <c r="G508">
        <v>5225.1045258949553</v>
      </c>
      <c r="H508" s="9">
        <f t="shared" si="31"/>
        <v>261255.22629474776</v>
      </c>
      <c r="I508" s="9">
        <f t="shared" si="30"/>
        <v>-134242.68318735313</v>
      </c>
    </row>
    <row r="509" spans="3:9" x14ac:dyDescent="0.35">
      <c r="C509">
        <v>13443.983275856808</v>
      </c>
      <c r="D509" s="9">
        <f t="shared" si="28"/>
        <v>300000</v>
      </c>
      <c r="E509" s="9">
        <f t="shared" si="29"/>
        <v>441078.82930997654</v>
      </c>
      <c r="G509">
        <v>5107.4556718649856</v>
      </c>
      <c r="H509" s="9">
        <f t="shared" si="31"/>
        <v>255372.78359324927</v>
      </c>
      <c r="I509" s="9">
        <f t="shared" si="30"/>
        <v>-142478.10296945099</v>
      </c>
    </row>
    <row r="510" spans="3:9" x14ac:dyDescent="0.35">
      <c r="C510">
        <v>16935.453352458266</v>
      </c>
      <c r="D510" s="9">
        <f t="shared" si="28"/>
        <v>300000</v>
      </c>
      <c r="E510" s="9">
        <f t="shared" si="29"/>
        <v>550000</v>
      </c>
      <c r="G510">
        <v>7925.8400219733267</v>
      </c>
      <c r="H510" s="9">
        <f t="shared" si="31"/>
        <v>300000</v>
      </c>
      <c r="I510" s="9">
        <f t="shared" si="30"/>
        <v>54808.80153813283</v>
      </c>
    </row>
    <row r="511" spans="3:9" x14ac:dyDescent="0.35">
      <c r="C511">
        <v>16805.902279732658</v>
      </c>
      <c r="D511" s="9">
        <f t="shared" si="28"/>
        <v>300000</v>
      </c>
      <c r="E511" s="9">
        <f t="shared" si="29"/>
        <v>550000</v>
      </c>
      <c r="G511">
        <v>3186.162907803583</v>
      </c>
      <c r="H511" s="9">
        <f t="shared" si="31"/>
        <v>159308.14539017915</v>
      </c>
      <c r="I511" s="9">
        <f t="shared" si="30"/>
        <v>-276968.59645374923</v>
      </c>
    </row>
    <row r="512" spans="3:9" x14ac:dyDescent="0.35">
      <c r="C512">
        <v>15504.135258033997</v>
      </c>
      <c r="D512" s="9">
        <f t="shared" si="28"/>
        <v>300000</v>
      </c>
      <c r="E512" s="9">
        <f t="shared" si="29"/>
        <v>550000</v>
      </c>
      <c r="G512">
        <v>5427.1370586260564</v>
      </c>
      <c r="H512" s="9">
        <f t="shared" si="31"/>
        <v>271356.8529313028</v>
      </c>
      <c r="I512" s="9">
        <f t="shared" si="30"/>
        <v>-120100.40589617606</v>
      </c>
    </row>
    <row r="513" spans="3:9" x14ac:dyDescent="0.35">
      <c r="C513">
        <v>13950.43794061098</v>
      </c>
      <c r="D513" s="9">
        <f t="shared" si="28"/>
        <v>300000</v>
      </c>
      <c r="E513" s="9">
        <f t="shared" si="29"/>
        <v>476530.65584276861</v>
      </c>
      <c r="G513">
        <v>4634.7239600817893</v>
      </c>
      <c r="H513" s="9">
        <f t="shared" si="31"/>
        <v>231736.19800408947</v>
      </c>
      <c r="I513" s="9">
        <f t="shared" si="30"/>
        <v>-175569.32279427478</v>
      </c>
    </row>
    <row r="514" spans="3:9" x14ac:dyDescent="0.35">
      <c r="C514">
        <v>14076.63197729423</v>
      </c>
      <c r="D514" s="9">
        <f t="shared" si="28"/>
        <v>300000</v>
      </c>
      <c r="E514" s="9">
        <f t="shared" si="29"/>
        <v>485364.23841059604</v>
      </c>
      <c r="G514">
        <v>6727.6833399456773</v>
      </c>
      <c r="H514" s="9">
        <f t="shared" si="31"/>
        <v>300000</v>
      </c>
      <c r="I514" s="9">
        <f t="shared" si="30"/>
        <v>-29062.166203802568</v>
      </c>
    </row>
    <row r="515" spans="3:9" x14ac:dyDescent="0.35">
      <c r="C515">
        <v>12534.53169347209</v>
      </c>
      <c r="D515" s="9">
        <f t="shared" si="28"/>
        <v>300000</v>
      </c>
      <c r="E515" s="9">
        <f t="shared" si="29"/>
        <v>377417.21854304639</v>
      </c>
      <c r="G515">
        <v>6279.976805932798</v>
      </c>
      <c r="H515" s="9">
        <f t="shared" si="31"/>
        <v>300000</v>
      </c>
      <c r="I515" s="9">
        <f t="shared" si="30"/>
        <v>-60401.623584704124</v>
      </c>
    </row>
    <row r="516" spans="3:9" x14ac:dyDescent="0.35">
      <c r="C516">
        <v>12455.946531571399</v>
      </c>
      <c r="D516" s="9">
        <f t="shared" si="28"/>
        <v>300000</v>
      </c>
      <c r="E516" s="9">
        <f t="shared" si="29"/>
        <v>371916.25720999786</v>
      </c>
      <c r="G516">
        <v>7696.3408307138279</v>
      </c>
      <c r="H516" s="9">
        <f t="shared" si="31"/>
        <v>300000</v>
      </c>
      <c r="I516" s="9">
        <f t="shared" si="30"/>
        <v>38743.858149967971</v>
      </c>
    </row>
    <row r="517" spans="3:9" x14ac:dyDescent="0.35">
      <c r="C517">
        <v>13893.673512985626</v>
      </c>
      <c r="D517" s="9">
        <f t="shared" si="28"/>
        <v>300000</v>
      </c>
      <c r="E517" s="9">
        <f t="shared" si="29"/>
        <v>472557.14590899379</v>
      </c>
      <c r="G517">
        <v>3028.9925840021974</v>
      </c>
      <c r="H517" s="9">
        <f t="shared" si="31"/>
        <v>151449.62920010986</v>
      </c>
      <c r="I517" s="9">
        <f t="shared" si="30"/>
        <v>-287970.51911984617</v>
      </c>
    </row>
    <row r="518" spans="3:9" x14ac:dyDescent="0.35">
      <c r="C518">
        <v>12212.866603595081</v>
      </c>
      <c r="D518" s="9">
        <f t="shared" si="28"/>
        <v>300000</v>
      </c>
      <c r="E518" s="9">
        <f t="shared" si="29"/>
        <v>354900.66225165571</v>
      </c>
      <c r="G518">
        <v>6379.314554277169</v>
      </c>
      <c r="H518" s="9">
        <f t="shared" si="31"/>
        <v>300000</v>
      </c>
      <c r="I518" s="9">
        <f t="shared" si="30"/>
        <v>-53447.98120059818</v>
      </c>
    </row>
    <row r="519" spans="3:9" x14ac:dyDescent="0.35">
      <c r="C519">
        <v>13144.596697897276</v>
      </c>
      <c r="D519" s="9">
        <f t="shared" si="28"/>
        <v>300000</v>
      </c>
      <c r="E519" s="9">
        <f t="shared" si="29"/>
        <v>420121.76885280933</v>
      </c>
      <c r="G519">
        <v>6503.5248878444781</v>
      </c>
      <c r="H519" s="9">
        <f t="shared" si="31"/>
        <v>300000</v>
      </c>
      <c r="I519" s="9">
        <f t="shared" si="30"/>
        <v>-44753.257850886555</v>
      </c>
    </row>
    <row r="520" spans="3:9" x14ac:dyDescent="0.35">
      <c r="C520">
        <v>13820.886867885372</v>
      </c>
      <c r="D520" s="9">
        <f t="shared" si="28"/>
        <v>300000</v>
      </c>
      <c r="E520" s="9">
        <f t="shared" si="29"/>
        <v>467462.08075197611</v>
      </c>
      <c r="G520">
        <v>3445.4176458021789</v>
      </c>
      <c r="H520" s="9">
        <f t="shared" si="31"/>
        <v>172270.88229010894</v>
      </c>
      <c r="I520" s="9">
        <f t="shared" si="30"/>
        <v>-258820.76479384748</v>
      </c>
    </row>
    <row r="521" spans="3:9" x14ac:dyDescent="0.35">
      <c r="C521">
        <v>15457.136753440962</v>
      </c>
      <c r="D521" s="9">
        <f t="shared" si="28"/>
        <v>300000</v>
      </c>
      <c r="E521" s="9">
        <f t="shared" si="29"/>
        <v>550000</v>
      </c>
      <c r="G521">
        <v>4657.7654347361677</v>
      </c>
      <c r="H521" s="9">
        <f t="shared" si="31"/>
        <v>232888.27173680838</v>
      </c>
      <c r="I521" s="9">
        <f t="shared" si="30"/>
        <v>-173956.41956846823</v>
      </c>
    </row>
    <row r="522" spans="3:9" x14ac:dyDescent="0.35">
      <c r="C522">
        <v>14815.179906613361</v>
      </c>
      <c r="D522" s="9">
        <f t="shared" si="28"/>
        <v>300000</v>
      </c>
      <c r="E522" s="9">
        <f t="shared" si="29"/>
        <v>537062.5934629353</v>
      </c>
      <c r="G522">
        <v>5460.0970488601342</v>
      </c>
      <c r="H522" s="9">
        <f t="shared" si="31"/>
        <v>273004.8524430067</v>
      </c>
      <c r="I522" s="9">
        <f t="shared" si="30"/>
        <v>-117793.20657979063</v>
      </c>
    </row>
    <row r="523" spans="3:9" x14ac:dyDescent="0.35">
      <c r="C523">
        <v>15657.338175603503</v>
      </c>
      <c r="D523" s="9">
        <f t="shared" si="28"/>
        <v>300000</v>
      </c>
      <c r="E523" s="9">
        <f t="shared" si="29"/>
        <v>550000</v>
      </c>
      <c r="G523">
        <v>5572.2525711844237</v>
      </c>
      <c r="H523" s="9">
        <f t="shared" si="31"/>
        <v>278612.62855922116</v>
      </c>
      <c r="I523" s="9">
        <f t="shared" si="30"/>
        <v>-109942.32001709036</v>
      </c>
    </row>
    <row r="524" spans="3:9" x14ac:dyDescent="0.35">
      <c r="C524">
        <v>13733.146153141881</v>
      </c>
      <c r="D524" s="9">
        <f t="shared" ref="D524:D587" si="32">50*MIN(C524,6000)</f>
        <v>300000</v>
      </c>
      <c r="E524" s="9">
        <f t="shared" ref="E524:E587" si="33">70*MIN(C524,15000)-500000</f>
        <v>461320.23071993166</v>
      </c>
      <c r="G524">
        <v>7666.737876522111</v>
      </c>
      <c r="H524" s="9">
        <f t="shared" si="31"/>
        <v>300000</v>
      </c>
      <c r="I524" s="9">
        <f t="shared" ref="I524:I587" si="34">70*MIN(G524,15000)-500000</f>
        <v>36671.651356547722</v>
      </c>
    </row>
    <row r="525" spans="3:9" x14ac:dyDescent="0.35">
      <c r="C525">
        <v>13145.054475539415</v>
      </c>
      <c r="D525" s="9">
        <f t="shared" si="32"/>
        <v>300000</v>
      </c>
      <c r="E525" s="9">
        <f t="shared" si="33"/>
        <v>420153.81328775908</v>
      </c>
      <c r="G525">
        <v>6627.1248512222664</v>
      </c>
      <c r="H525" s="9">
        <f t="shared" ref="H525:H588" si="35">50*MIN(G525,6000)</f>
        <v>300000</v>
      </c>
      <c r="I525" s="9">
        <f t="shared" si="34"/>
        <v>-36101.260414441349</v>
      </c>
    </row>
    <row r="526" spans="3:9" x14ac:dyDescent="0.35">
      <c r="C526">
        <v>15150.883510849329</v>
      </c>
      <c r="D526" s="9">
        <f t="shared" si="32"/>
        <v>300000</v>
      </c>
      <c r="E526" s="9">
        <f t="shared" si="33"/>
        <v>550000</v>
      </c>
      <c r="G526">
        <v>3905.0263985106967</v>
      </c>
      <c r="H526" s="9">
        <f t="shared" si="35"/>
        <v>195251.31992553483</v>
      </c>
      <c r="I526" s="9">
        <f t="shared" si="34"/>
        <v>-226648.1521042512</v>
      </c>
    </row>
    <row r="527" spans="3:9" x14ac:dyDescent="0.35">
      <c r="C527">
        <v>12430.768761253701</v>
      </c>
      <c r="D527" s="9">
        <f t="shared" si="32"/>
        <v>300000</v>
      </c>
      <c r="E527" s="9">
        <f t="shared" si="33"/>
        <v>370153.81328775908</v>
      </c>
      <c r="G527">
        <v>7424.1157261879334</v>
      </c>
      <c r="H527" s="9">
        <f t="shared" si="35"/>
        <v>300000</v>
      </c>
      <c r="I527" s="9">
        <f t="shared" si="34"/>
        <v>19688.100833155331</v>
      </c>
    </row>
    <row r="528" spans="3:9" x14ac:dyDescent="0.35">
      <c r="C528">
        <v>16136.1735892819</v>
      </c>
      <c r="D528" s="9">
        <f t="shared" si="32"/>
        <v>300000</v>
      </c>
      <c r="E528" s="9">
        <f t="shared" si="33"/>
        <v>550000</v>
      </c>
      <c r="G528">
        <v>4818.7505722220521</v>
      </c>
      <c r="H528" s="9">
        <f t="shared" si="35"/>
        <v>240937.52861110261</v>
      </c>
      <c r="I528" s="9">
        <f t="shared" si="34"/>
        <v>-162687.45994445635</v>
      </c>
    </row>
    <row r="529" spans="3:9" x14ac:dyDescent="0.35">
      <c r="C529">
        <v>14573.473311563463</v>
      </c>
      <c r="D529" s="9">
        <f t="shared" si="32"/>
        <v>300000</v>
      </c>
      <c r="E529" s="9">
        <f t="shared" si="33"/>
        <v>520143.13180944242</v>
      </c>
      <c r="G529">
        <v>4245.1551866206855</v>
      </c>
      <c r="H529" s="9">
        <f t="shared" si="35"/>
        <v>212257.75933103426</v>
      </c>
      <c r="I529" s="9">
        <f t="shared" si="34"/>
        <v>-202839.13693655201</v>
      </c>
    </row>
    <row r="530" spans="3:9" x14ac:dyDescent="0.35">
      <c r="C530">
        <v>14533.951841792048</v>
      </c>
      <c r="D530" s="9">
        <f t="shared" si="32"/>
        <v>300000</v>
      </c>
      <c r="E530" s="9">
        <f t="shared" si="33"/>
        <v>517376.62892544339</v>
      </c>
      <c r="G530">
        <v>7236.2743003631704</v>
      </c>
      <c r="H530" s="9">
        <f t="shared" si="35"/>
        <v>300000</v>
      </c>
      <c r="I530" s="9">
        <f t="shared" si="34"/>
        <v>6539.2010254219058</v>
      </c>
    </row>
    <row r="531" spans="3:9" x14ac:dyDescent="0.35">
      <c r="C531">
        <v>14535.019989623706</v>
      </c>
      <c r="D531" s="9">
        <f t="shared" si="32"/>
        <v>300000</v>
      </c>
      <c r="E531" s="9">
        <f t="shared" si="33"/>
        <v>517451.39927365945</v>
      </c>
      <c r="G531">
        <v>3649.43388164922</v>
      </c>
      <c r="H531" s="9">
        <f t="shared" si="35"/>
        <v>182471.69408246101</v>
      </c>
      <c r="I531" s="9">
        <f t="shared" si="34"/>
        <v>-244539.62828455461</v>
      </c>
    </row>
    <row r="532" spans="3:9" x14ac:dyDescent="0.35">
      <c r="C532">
        <v>15282.876064333017</v>
      </c>
      <c r="D532" s="9">
        <f t="shared" si="32"/>
        <v>300000</v>
      </c>
      <c r="E532" s="9">
        <f t="shared" si="33"/>
        <v>550000</v>
      </c>
      <c r="G532">
        <v>3160.3747672963655</v>
      </c>
      <c r="H532" s="9">
        <f t="shared" si="35"/>
        <v>158018.73836481827</v>
      </c>
      <c r="I532" s="9">
        <f t="shared" si="34"/>
        <v>-278773.76628925442</v>
      </c>
    </row>
    <row r="533" spans="3:9" x14ac:dyDescent="0.35">
      <c r="C533">
        <v>12092.471083712271</v>
      </c>
      <c r="D533" s="9">
        <f t="shared" si="32"/>
        <v>300000</v>
      </c>
      <c r="E533" s="9">
        <f t="shared" si="33"/>
        <v>346472.97585985903</v>
      </c>
      <c r="G533">
        <v>6146.1531418805507</v>
      </c>
      <c r="H533" s="9">
        <f t="shared" si="35"/>
        <v>300000</v>
      </c>
      <c r="I533" s="9">
        <f t="shared" si="34"/>
        <v>-69769.280068361433</v>
      </c>
    </row>
    <row r="534" spans="3:9" x14ac:dyDescent="0.35">
      <c r="C534">
        <v>13085.08560441908</v>
      </c>
      <c r="D534" s="9">
        <f t="shared" si="32"/>
        <v>300000</v>
      </c>
      <c r="E534" s="9">
        <f t="shared" si="33"/>
        <v>415955.99230933562</v>
      </c>
      <c r="G534">
        <v>6819.8492385631889</v>
      </c>
      <c r="H534" s="9">
        <f t="shared" si="35"/>
        <v>300000</v>
      </c>
      <c r="I534" s="9">
        <f t="shared" si="34"/>
        <v>-22610.55330057675</v>
      </c>
    </row>
    <row r="535" spans="3:9" x14ac:dyDescent="0.35">
      <c r="C535">
        <v>12597.094637897884</v>
      </c>
      <c r="D535" s="9">
        <f t="shared" si="32"/>
        <v>300000</v>
      </c>
      <c r="E535" s="9">
        <f t="shared" si="33"/>
        <v>381796.62465285184</v>
      </c>
      <c r="G535">
        <v>5845.0880458998381</v>
      </c>
      <c r="H535" s="9">
        <f t="shared" si="35"/>
        <v>292254.40229499189</v>
      </c>
      <c r="I535" s="9">
        <f t="shared" si="34"/>
        <v>-90843.836787011358</v>
      </c>
    </row>
    <row r="536" spans="3:9" x14ac:dyDescent="0.35">
      <c r="C536">
        <v>13825.769829401532</v>
      </c>
      <c r="D536" s="9">
        <f t="shared" si="32"/>
        <v>300000</v>
      </c>
      <c r="E536" s="9">
        <f t="shared" si="33"/>
        <v>467803.88805810723</v>
      </c>
      <c r="G536">
        <v>3313.5776848658711</v>
      </c>
      <c r="H536" s="9">
        <f t="shared" si="35"/>
        <v>165678.88424329355</v>
      </c>
      <c r="I536" s="9">
        <f t="shared" si="34"/>
        <v>-268049.56205938902</v>
      </c>
    </row>
    <row r="537" spans="3:9" x14ac:dyDescent="0.35">
      <c r="C537">
        <v>16644.001586962491</v>
      </c>
      <c r="D537" s="9">
        <f t="shared" si="32"/>
        <v>300000</v>
      </c>
      <c r="E537" s="9">
        <f t="shared" si="33"/>
        <v>550000</v>
      </c>
      <c r="G537">
        <v>6726.4625995666374</v>
      </c>
      <c r="H537" s="9">
        <f t="shared" si="35"/>
        <v>300000</v>
      </c>
      <c r="I537" s="9">
        <f t="shared" si="34"/>
        <v>-29147.618030335405</v>
      </c>
    </row>
    <row r="538" spans="3:9" x14ac:dyDescent="0.35">
      <c r="C538">
        <v>13782.280953398236</v>
      </c>
      <c r="D538" s="9">
        <f t="shared" si="32"/>
        <v>300000</v>
      </c>
      <c r="E538" s="9">
        <f t="shared" si="33"/>
        <v>464759.6667378766</v>
      </c>
      <c r="G538">
        <v>3180.0592059083833</v>
      </c>
      <c r="H538" s="9">
        <f t="shared" si="35"/>
        <v>159002.96029541918</v>
      </c>
      <c r="I538" s="9">
        <f t="shared" si="34"/>
        <v>-277395.85558641318</v>
      </c>
    </row>
    <row r="539" spans="3:9" x14ac:dyDescent="0.35">
      <c r="C539">
        <v>12773.796807763909</v>
      </c>
      <c r="D539" s="9">
        <f t="shared" si="32"/>
        <v>300000</v>
      </c>
      <c r="E539" s="9">
        <f t="shared" si="33"/>
        <v>394165.77654347359</v>
      </c>
      <c r="G539">
        <v>3798.5168004394664</v>
      </c>
      <c r="H539" s="9">
        <f t="shared" si="35"/>
        <v>189925.84002197333</v>
      </c>
      <c r="I539" s="9">
        <f t="shared" si="34"/>
        <v>-234103.82396923733</v>
      </c>
    </row>
    <row r="540" spans="3:9" x14ac:dyDescent="0.35">
      <c r="C540">
        <v>15524.735251930295</v>
      </c>
      <c r="D540" s="9">
        <f t="shared" si="32"/>
        <v>300000</v>
      </c>
      <c r="E540" s="9">
        <f t="shared" si="33"/>
        <v>550000</v>
      </c>
      <c r="G540">
        <v>4335.6425672170171</v>
      </c>
      <c r="H540" s="9">
        <f t="shared" si="35"/>
        <v>216782.12836085085</v>
      </c>
      <c r="I540" s="9">
        <f t="shared" si="34"/>
        <v>-196505.02029480878</v>
      </c>
    </row>
    <row r="541" spans="3:9" x14ac:dyDescent="0.35">
      <c r="C541">
        <v>12761.89458906827</v>
      </c>
      <c r="D541" s="9">
        <f t="shared" si="32"/>
        <v>300000</v>
      </c>
      <c r="E541" s="9">
        <f t="shared" si="33"/>
        <v>393332.6212347789</v>
      </c>
      <c r="G541">
        <v>6052.7665028839983</v>
      </c>
      <c r="H541" s="9">
        <f t="shared" si="35"/>
        <v>300000</v>
      </c>
      <c r="I541" s="9">
        <f t="shared" si="34"/>
        <v>-76306.344798120088</v>
      </c>
    </row>
    <row r="542" spans="3:9" x14ac:dyDescent="0.35">
      <c r="C542">
        <v>13084.01745658742</v>
      </c>
      <c r="D542" s="9">
        <f t="shared" si="32"/>
        <v>300000</v>
      </c>
      <c r="E542" s="9">
        <f t="shared" si="33"/>
        <v>415881.22196111945</v>
      </c>
      <c r="G542">
        <v>6900.418103579821</v>
      </c>
      <c r="H542" s="9">
        <f t="shared" si="35"/>
        <v>300000</v>
      </c>
      <c r="I542" s="9">
        <f t="shared" si="34"/>
        <v>-16970.732749412535</v>
      </c>
    </row>
    <row r="543" spans="3:9" x14ac:dyDescent="0.35">
      <c r="C543">
        <v>13006.042664876248</v>
      </c>
      <c r="D543" s="9">
        <f t="shared" si="32"/>
        <v>300000</v>
      </c>
      <c r="E543" s="9">
        <f t="shared" si="33"/>
        <v>410422.98654133733</v>
      </c>
      <c r="G543">
        <v>5909.1769157994322</v>
      </c>
      <c r="H543" s="9">
        <f t="shared" si="35"/>
        <v>295458.84578997159</v>
      </c>
      <c r="I543" s="9">
        <f t="shared" si="34"/>
        <v>-86357.615894039744</v>
      </c>
    </row>
    <row r="544" spans="3:9" x14ac:dyDescent="0.35">
      <c r="C544">
        <v>12104.67848750267</v>
      </c>
      <c r="D544" s="9">
        <f t="shared" si="32"/>
        <v>300000</v>
      </c>
      <c r="E544" s="9">
        <f t="shared" si="33"/>
        <v>347327.49412518693</v>
      </c>
      <c r="G544">
        <v>3082.7051606799523</v>
      </c>
      <c r="H544" s="9">
        <f t="shared" si="35"/>
        <v>154135.25803399761</v>
      </c>
      <c r="I544" s="9">
        <f t="shared" si="34"/>
        <v>-284210.63875240332</v>
      </c>
    </row>
    <row r="545" spans="3:9" x14ac:dyDescent="0.35">
      <c r="C545">
        <v>16122.287667470322</v>
      </c>
      <c r="D545" s="9">
        <f t="shared" si="32"/>
        <v>300000</v>
      </c>
      <c r="E545" s="9">
        <f t="shared" si="33"/>
        <v>550000</v>
      </c>
      <c r="G545">
        <v>4897.1831415753659</v>
      </c>
      <c r="H545" s="9">
        <f t="shared" si="35"/>
        <v>244859.1570787683</v>
      </c>
      <c r="I545" s="9">
        <f t="shared" si="34"/>
        <v>-157197.18008972437</v>
      </c>
    </row>
    <row r="546" spans="3:9" x14ac:dyDescent="0.35">
      <c r="C546">
        <v>13906.033509323404</v>
      </c>
      <c r="D546" s="9">
        <f t="shared" si="32"/>
        <v>300000</v>
      </c>
      <c r="E546" s="9">
        <f t="shared" si="33"/>
        <v>473422.34565263835</v>
      </c>
      <c r="G546">
        <v>4143.6811426129952</v>
      </c>
      <c r="H546" s="9">
        <f t="shared" si="35"/>
        <v>207184.05713064977</v>
      </c>
      <c r="I546" s="9">
        <f t="shared" si="34"/>
        <v>-209942.32001709036</v>
      </c>
    </row>
    <row r="547" spans="3:9" x14ac:dyDescent="0.35">
      <c r="C547">
        <v>12215.155491805781</v>
      </c>
      <c r="D547" s="9">
        <f t="shared" si="32"/>
        <v>300000</v>
      </c>
      <c r="E547" s="9">
        <f t="shared" si="33"/>
        <v>355060.88442640472</v>
      </c>
      <c r="G547">
        <v>5750.328073976867</v>
      </c>
      <c r="H547" s="9">
        <f t="shared" si="35"/>
        <v>287516.40369884332</v>
      </c>
      <c r="I547" s="9">
        <f t="shared" si="34"/>
        <v>-97477.03482161928</v>
      </c>
    </row>
    <row r="548" spans="3:9" x14ac:dyDescent="0.35">
      <c r="C548">
        <v>16297.463911862546</v>
      </c>
      <c r="D548" s="9">
        <f t="shared" si="32"/>
        <v>300000</v>
      </c>
      <c r="E548" s="9">
        <f t="shared" si="33"/>
        <v>550000</v>
      </c>
      <c r="G548">
        <v>5145.4512161626026</v>
      </c>
      <c r="H548" s="9">
        <f t="shared" si="35"/>
        <v>257272.56080813013</v>
      </c>
      <c r="I548" s="9">
        <f t="shared" si="34"/>
        <v>-139818.41486861784</v>
      </c>
    </row>
    <row r="549" spans="3:9" x14ac:dyDescent="0.35">
      <c r="C549">
        <v>12547.50205999939</v>
      </c>
      <c r="D549" s="9">
        <f t="shared" si="32"/>
        <v>300000</v>
      </c>
      <c r="E549" s="9">
        <f t="shared" si="33"/>
        <v>378325.14419995726</v>
      </c>
      <c r="G549">
        <v>5054.6586504715106</v>
      </c>
      <c r="H549" s="9">
        <f t="shared" si="35"/>
        <v>252732.93252357552</v>
      </c>
      <c r="I549" s="9">
        <f t="shared" si="34"/>
        <v>-146173.89446699427</v>
      </c>
    </row>
    <row r="550" spans="3:9" x14ac:dyDescent="0.35">
      <c r="C550">
        <v>14232.886745811335</v>
      </c>
      <c r="D550" s="9">
        <f t="shared" si="32"/>
        <v>300000</v>
      </c>
      <c r="E550" s="9">
        <f t="shared" si="33"/>
        <v>496302.07220679347</v>
      </c>
      <c r="G550">
        <v>6324.0760521256143</v>
      </c>
      <c r="H550" s="9">
        <f t="shared" si="35"/>
        <v>300000</v>
      </c>
      <c r="I550" s="9">
        <f t="shared" si="34"/>
        <v>-57314.676351207017</v>
      </c>
    </row>
    <row r="551" spans="3:9" x14ac:dyDescent="0.35">
      <c r="C551">
        <v>12592.822046571246</v>
      </c>
      <c r="D551" s="9">
        <f t="shared" si="32"/>
        <v>300000</v>
      </c>
      <c r="E551" s="9">
        <f t="shared" si="33"/>
        <v>381497.54325998714</v>
      </c>
      <c r="G551">
        <v>6181.8597979674669</v>
      </c>
      <c r="H551" s="9">
        <f t="shared" si="35"/>
        <v>300000</v>
      </c>
      <c r="I551" s="9">
        <f t="shared" si="34"/>
        <v>-67269.814142277348</v>
      </c>
    </row>
    <row r="552" spans="3:9" x14ac:dyDescent="0.35">
      <c r="C552">
        <v>15592.486342967009</v>
      </c>
      <c r="D552" s="9">
        <f t="shared" si="32"/>
        <v>300000</v>
      </c>
      <c r="E552" s="9">
        <f t="shared" si="33"/>
        <v>550000</v>
      </c>
      <c r="G552">
        <v>3137.7910702841273</v>
      </c>
      <c r="H552" s="9">
        <f t="shared" si="35"/>
        <v>156889.55351420637</v>
      </c>
      <c r="I552" s="9">
        <f t="shared" si="34"/>
        <v>-280354.62508011109</v>
      </c>
    </row>
    <row r="553" spans="3:9" x14ac:dyDescent="0.35">
      <c r="C553">
        <v>14872.402111880856</v>
      </c>
      <c r="D553" s="9">
        <f t="shared" si="32"/>
        <v>300000</v>
      </c>
      <c r="E553" s="9">
        <f t="shared" si="33"/>
        <v>541068.14783165988</v>
      </c>
      <c r="G553">
        <v>7601.1230811487167</v>
      </c>
      <c r="H553" s="9">
        <f t="shared" si="35"/>
        <v>300000</v>
      </c>
      <c r="I553" s="9">
        <f t="shared" si="34"/>
        <v>32078.615680410177</v>
      </c>
    </row>
    <row r="554" spans="3:9" x14ac:dyDescent="0.35">
      <c r="C554">
        <v>12145.115512558366</v>
      </c>
      <c r="D554" s="9">
        <f t="shared" si="32"/>
        <v>300000</v>
      </c>
      <c r="E554" s="9">
        <f t="shared" si="33"/>
        <v>350158.0858790857</v>
      </c>
      <c r="G554">
        <v>5959.227271340068</v>
      </c>
      <c r="H554" s="9">
        <f t="shared" si="35"/>
        <v>297961.3635670034</v>
      </c>
      <c r="I554" s="9">
        <f t="shared" si="34"/>
        <v>-82854.091006195231</v>
      </c>
    </row>
    <row r="555" spans="3:9" x14ac:dyDescent="0.35">
      <c r="C555">
        <v>12643.4827723014</v>
      </c>
      <c r="D555" s="9">
        <f t="shared" si="32"/>
        <v>300000</v>
      </c>
      <c r="E555" s="9">
        <f t="shared" si="33"/>
        <v>385043.79406109801</v>
      </c>
      <c r="G555">
        <v>4916.8675801873833</v>
      </c>
      <c r="H555" s="9">
        <f t="shared" si="35"/>
        <v>245843.37900936918</v>
      </c>
      <c r="I555" s="9">
        <f t="shared" si="34"/>
        <v>-155819.26938688318</v>
      </c>
    </row>
    <row r="556" spans="3:9" x14ac:dyDescent="0.35">
      <c r="C556">
        <v>13736.655781731621</v>
      </c>
      <c r="D556" s="9">
        <f t="shared" si="32"/>
        <v>300000</v>
      </c>
      <c r="E556" s="9">
        <f t="shared" si="33"/>
        <v>461565.9047212135</v>
      </c>
      <c r="G556">
        <v>5622.1503341776788</v>
      </c>
      <c r="H556" s="9">
        <f t="shared" si="35"/>
        <v>281107.51670888392</v>
      </c>
      <c r="I556" s="9">
        <f t="shared" si="34"/>
        <v>-106449.47660756251</v>
      </c>
    </row>
    <row r="557" spans="3:9" x14ac:dyDescent="0.35">
      <c r="C557">
        <v>16577.013458662681</v>
      </c>
      <c r="D557" s="9">
        <f t="shared" si="32"/>
        <v>300000</v>
      </c>
      <c r="E557" s="9">
        <f t="shared" si="33"/>
        <v>550000</v>
      </c>
      <c r="G557">
        <v>4245.4603717154459</v>
      </c>
      <c r="H557" s="9">
        <f t="shared" si="35"/>
        <v>212273.01858577231</v>
      </c>
      <c r="I557" s="9">
        <f t="shared" si="34"/>
        <v>-202817.7739799188</v>
      </c>
    </row>
    <row r="558" spans="3:9" x14ac:dyDescent="0.35">
      <c r="C558">
        <v>15544.419690542314</v>
      </c>
      <c r="D558" s="9">
        <f t="shared" si="32"/>
        <v>300000</v>
      </c>
      <c r="E558" s="9">
        <f t="shared" si="33"/>
        <v>550000</v>
      </c>
      <c r="G558">
        <v>3235.7554857020782</v>
      </c>
      <c r="H558" s="9">
        <f t="shared" si="35"/>
        <v>161787.77428510392</v>
      </c>
      <c r="I558" s="9">
        <f t="shared" si="34"/>
        <v>-273497.11600085453</v>
      </c>
    </row>
    <row r="559" spans="3:9" x14ac:dyDescent="0.35">
      <c r="C559">
        <v>16135.868404187138</v>
      </c>
      <c r="D559" s="9">
        <f t="shared" si="32"/>
        <v>300000</v>
      </c>
      <c r="E559" s="9">
        <f t="shared" si="33"/>
        <v>550000</v>
      </c>
      <c r="G559">
        <v>7950.7126071962639</v>
      </c>
      <c r="H559" s="9">
        <f t="shared" si="35"/>
        <v>300000</v>
      </c>
      <c r="I559" s="9">
        <f t="shared" si="34"/>
        <v>56549.88250373851</v>
      </c>
    </row>
    <row r="560" spans="3:9" x14ac:dyDescent="0.35">
      <c r="C560">
        <v>14504.80666524247</v>
      </c>
      <c r="D560" s="9">
        <f t="shared" si="32"/>
        <v>300000</v>
      </c>
      <c r="E560" s="9">
        <f t="shared" si="33"/>
        <v>515336.4665669729</v>
      </c>
      <c r="G560">
        <v>7447.6149784844511</v>
      </c>
      <c r="H560" s="9">
        <f t="shared" si="35"/>
        <v>300000</v>
      </c>
      <c r="I560" s="9">
        <f t="shared" si="34"/>
        <v>21333.04849391157</v>
      </c>
    </row>
    <row r="561" spans="3:9" x14ac:dyDescent="0.35">
      <c r="C561">
        <v>13594.286935026093</v>
      </c>
      <c r="D561" s="9">
        <f t="shared" si="32"/>
        <v>300000</v>
      </c>
      <c r="E561" s="9">
        <f t="shared" si="33"/>
        <v>451600.08545182657</v>
      </c>
      <c r="G561">
        <v>4436.5062410351875</v>
      </c>
      <c r="H561" s="9">
        <f t="shared" si="35"/>
        <v>221825.31205175936</v>
      </c>
      <c r="I561" s="9">
        <f t="shared" si="34"/>
        <v>-189444.56312753685</v>
      </c>
    </row>
    <row r="562" spans="3:9" x14ac:dyDescent="0.35">
      <c r="C562">
        <v>12356.151005584887</v>
      </c>
      <c r="D562" s="9">
        <f t="shared" si="32"/>
        <v>300000</v>
      </c>
      <c r="E562" s="9">
        <f t="shared" si="33"/>
        <v>364930.57039094204</v>
      </c>
      <c r="G562">
        <v>5319.4067201757862</v>
      </c>
      <c r="H562" s="9">
        <f t="shared" si="35"/>
        <v>265970.33600878931</v>
      </c>
      <c r="I562" s="9">
        <f t="shared" si="34"/>
        <v>-127641.52958769497</v>
      </c>
    </row>
    <row r="563" spans="3:9" x14ac:dyDescent="0.35">
      <c r="C563">
        <v>14617.267372661519</v>
      </c>
      <c r="D563" s="9">
        <f t="shared" si="32"/>
        <v>300000</v>
      </c>
      <c r="E563" s="9">
        <f t="shared" si="33"/>
        <v>523208.71608630638</v>
      </c>
      <c r="G563">
        <v>4755.729850154119</v>
      </c>
      <c r="H563" s="9">
        <f t="shared" si="35"/>
        <v>237786.49250770596</v>
      </c>
      <c r="I563" s="9">
        <f t="shared" si="34"/>
        <v>-167098.91048921167</v>
      </c>
    </row>
    <row r="564" spans="3:9" x14ac:dyDescent="0.35">
      <c r="C564">
        <v>14780.083620715965</v>
      </c>
      <c r="D564" s="9">
        <f t="shared" si="32"/>
        <v>300000</v>
      </c>
      <c r="E564" s="9">
        <f t="shared" si="33"/>
        <v>534605.85345011752</v>
      </c>
      <c r="G564">
        <v>4788.3846552934356</v>
      </c>
      <c r="H564" s="9">
        <f t="shared" si="35"/>
        <v>239419.23276467179</v>
      </c>
      <c r="I564" s="9">
        <f t="shared" si="34"/>
        <v>-164813.07412945951</v>
      </c>
    </row>
    <row r="565" spans="3:9" x14ac:dyDescent="0.35">
      <c r="C565">
        <v>13198.00408948027</v>
      </c>
      <c r="D565" s="9">
        <f t="shared" si="32"/>
        <v>300000</v>
      </c>
      <c r="E565" s="9">
        <f t="shared" si="33"/>
        <v>423860.28626361885</v>
      </c>
      <c r="G565">
        <v>3374.1569261757254</v>
      </c>
      <c r="H565" s="9">
        <f t="shared" si="35"/>
        <v>168707.84630878628</v>
      </c>
      <c r="I565" s="9">
        <f t="shared" si="34"/>
        <v>-263809.0151676992</v>
      </c>
    </row>
    <row r="566" spans="3:9" x14ac:dyDescent="0.35">
      <c r="C566">
        <v>14493.667409283731</v>
      </c>
      <c r="D566" s="9">
        <f t="shared" si="32"/>
        <v>300000</v>
      </c>
      <c r="E566" s="9">
        <f t="shared" si="33"/>
        <v>514556.71864986117</v>
      </c>
      <c r="G566">
        <v>7939.5733512375255</v>
      </c>
      <c r="H566" s="9">
        <f t="shared" si="35"/>
        <v>300000</v>
      </c>
      <c r="I566" s="9">
        <f t="shared" si="34"/>
        <v>55770.13458662678</v>
      </c>
    </row>
    <row r="567" spans="3:9" x14ac:dyDescent="0.35">
      <c r="C567">
        <v>13650.593585009308</v>
      </c>
      <c r="D567" s="9">
        <f t="shared" si="32"/>
        <v>300000</v>
      </c>
      <c r="E567" s="9">
        <f t="shared" si="33"/>
        <v>455541.55095065152</v>
      </c>
      <c r="G567">
        <v>6652.3026215399641</v>
      </c>
      <c r="H567" s="9">
        <f t="shared" si="35"/>
        <v>300000</v>
      </c>
      <c r="I567" s="9">
        <f t="shared" si="34"/>
        <v>-34338.816492202517</v>
      </c>
    </row>
    <row r="568" spans="3:9" x14ac:dyDescent="0.35">
      <c r="C568">
        <v>16470.351268044069</v>
      </c>
      <c r="D568" s="9">
        <f t="shared" si="32"/>
        <v>300000</v>
      </c>
      <c r="E568" s="9">
        <f t="shared" si="33"/>
        <v>550000</v>
      </c>
      <c r="G568">
        <v>5659.535508285775</v>
      </c>
      <c r="H568" s="9">
        <f t="shared" si="35"/>
        <v>282976.77541428874</v>
      </c>
      <c r="I568" s="9">
        <f t="shared" si="34"/>
        <v>-103832.51441999577</v>
      </c>
    </row>
    <row r="569" spans="3:9" x14ac:dyDescent="0.35">
      <c r="C569">
        <v>16375.286111026337</v>
      </c>
      <c r="D569" s="9">
        <f t="shared" si="32"/>
        <v>300000</v>
      </c>
      <c r="E569" s="9">
        <f t="shared" si="33"/>
        <v>550000</v>
      </c>
      <c r="G569">
        <v>3589.1598254341257</v>
      </c>
      <c r="H569" s="9">
        <f t="shared" si="35"/>
        <v>179457.99127170627</v>
      </c>
      <c r="I569" s="9">
        <f t="shared" si="34"/>
        <v>-248758.81221961119</v>
      </c>
    </row>
    <row r="570" spans="3:9" x14ac:dyDescent="0.35">
      <c r="C570">
        <v>16360.637226477858</v>
      </c>
      <c r="D570" s="9">
        <f t="shared" si="32"/>
        <v>300000</v>
      </c>
      <c r="E570" s="9">
        <f t="shared" si="33"/>
        <v>550000</v>
      </c>
      <c r="G570">
        <v>6280.8923612170784</v>
      </c>
      <c r="H570" s="9">
        <f t="shared" si="35"/>
        <v>300000</v>
      </c>
      <c r="I570" s="9">
        <f t="shared" si="34"/>
        <v>-60337.534714804497</v>
      </c>
    </row>
    <row r="571" spans="3:9" x14ac:dyDescent="0.35">
      <c r="C571">
        <v>15426.618243964964</v>
      </c>
      <c r="D571" s="9">
        <f t="shared" si="32"/>
        <v>300000</v>
      </c>
      <c r="E571" s="9">
        <f t="shared" si="33"/>
        <v>550000</v>
      </c>
      <c r="G571">
        <v>7257.484664448988</v>
      </c>
      <c r="H571" s="9">
        <f t="shared" si="35"/>
        <v>300000</v>
      </c>
      <c r="I571" s="9">
        <f t="shared" si="34"/>
        <v>8023.9265114291338</v>
      </c>
    </row>
    <row r="572" spans="3:9" x14ac:dyDescent="0.35">
      <c r="C572">
        <v>14294.991912594989</v>
      </c>
      <c r="D572" s="9">
        <f t="shared" si="32"/>
        <v>300000</v>
      </c>
      <c r="E572" s="9">
        <f t="shared" si="33"/>
        <v>500649.43388164928</v>
      </c>
      <c r="G572">
        <v>4191.7477950376906</v>
      </c>
      <c r="H572" s="9">
        <f t="shared" si="35"/>
        <v>209587.38975188453</v>
      </c>
      <c r="I572" s="9">
        <f t="shared" si="34"/>
        <v>-206577.65434736165</v>
      </c>
    </row>
    <row r="573" spans="3:9" x14ac:dyDescent="0.35">
      <c r="C573">
        <v>12593.127231666005</v>
      </c>
      <c r="D573" s="9">
        <f t="shared" si="32"/>
        <v>300000</v>
      </c>
      <c r="E573" s="9">
        <f t="shared" si="33"/>
        <v>381518.90621662035</v>
      </c>
      <c r="G573">
        <v>5239.9060029908142</v>
      </c>
      <c r="H573" s="9">
        <f t="shared" si="35"/>
        <v>261995.30014954071</v>
      </c>
      <c r="I573" s="9">
        <f t="shared" si="34"/>
        <v>-133206.57979064301</v>
      </c>
    </row>
    <row r="574" spans="3:9" x14ac:dyDescent="0.35">
      <c r="C574">
        <v>16178.594317453535</v>
      </c>
      <c r="D574" s="9">
        <f t="shared" si="32"/>
        <v>300000</v>
      </c>
      <c r="E574" s="9">
        <f t="shared" si="33"/>
        <v>550000</v>
      </c>
      <c r="G574">
        <v>4713.9194921720027</v>
      </c>
      <c r="H574" s="9">
        <f t="shared" si="35"/>
        <v>235695.97460860014</v>
      </c>
      <c r="I574" s="9">
        <f t="shared" si="34"/>
        <v>-170025.63554795983</v>
      </c>
    </row>
    <row r="575" spans="3:9" x14ac:dyDescent="0.35">
      <c r="C575">
        <v>12909.909360026857</v>
      </c>
      <c r="D575" s="9">
        <f t="shared" si="32"/>
        <v>300000</v>
      </c>
      <c r="E575" s="9">
        <f t="shared" si="33"/>
        <v>403693.65520188003</v>
      </c>
      <c r="G575">
        <v>6422.1930600909454</v>
      </c>
      <c r="H575" s="9">
        <f t="shared" si="35"/>
        <v>300000</v>
      </c>
      <c r="I575" s="9">
        <f t="shared" si="34"/>
        <v>-50446.485793633794</v>
      </c>
    </row>
    <row r="576" spans="3:9" x14ac:dyDescent="0.35">
      <c r="C576">
        <v>13971.648304696799</v>
      </c>
      <c r="D576" s="9">
        <f t="shared" si="32"/>
        <v>300000</v>
      </c>
      <c r="E576" s="9">
        <f t="shared" si="33"/>
        <v>478015.3813287759</v>
      </c>
      <c r="G576">
        <v>4448.4084597308265</v>
      </c>
      <c r="H576" s="9">
        <f t="shared" si="35"/>
        <v>222420.42298654132</v>
      </c>
      <c r="I576" s="9">
        <f t="shared" si="34"/>
        <v>-188611.40781884216</v>
      </c>
    </row>
    <row r="577" spans="3:9" x14ac:dyDescent="0.35">
      <c r="C577">
        <v>13364.482558671834</v>
      </c>
      <c r="D577" s="9">
        <f t="shared" si="32"/>
        <v>300000</v>
      </c>
      <c r="E577" s="9">
        <f t="shared" si="33"/>
        <v>435513.77910702839</v>
      </c>
      <c r="G577">
        <v>7788.8119144260991</v>
      </c>
      <c r="H577" s="9">
        <f t="shared" si="35"/>
        <v>300000</v>
      </c>
      <c r="I577" s="9">
        <f t="shared" si="34"/>
        <v>45216.834009826882</v>
      </c>
    </row>
    <row r="578" spans="3:9" x14ac:dyDescent="0.35">
      <c r="C578">
        <v>15916.5929136021</v>
      </c>
      <c r="D578" s="9">
        <f t="shared" si="32"/>
        <v>300000</v>
      </c>
      <c r="E578" s="9">
        <f t="shared" si="33"/>
        <v>550000</v>
      </c>
      <c r="G578">
        <v>7392.8342539750356</v>
      </c>
      <c r="H578" s="9">
        <f t="shared" si="35"/>
        <v>300000</v>
      </c>
      <c r="I578" s="9">
        <f t="shared" si="34"/>
        <v>17498.397778252489</v>
      </c>
    </row>
    <row r="579" spans="3:9" x14ac:dyDescent="0.35">
      <c r="C579">
        <v>13175.267799920652</v>
      </c>
      <c r="D579" s="9">
        <f t="shared" si="32"/>
        <v>300000</v>
      </c>
      <c r="E579" s="9">
        <f t="shared" si="33"/>
        <v>422268.74599444564</v>
      </c>
      <c r="G579">
        <v>6559.3737601855519</v>
      </c>
      <c r="H579" s="9">
        <f t="shared" si="35"/>
        <v>300000</v>
      </c>
      <c r="I579" s="9">
        <f t="shared" si="34"/>
        <v>-40843.836787011358</v>
      </c>
    </row>
    <row r="580" spans="3:9" x14ac:dyDescent="0.35">
      <c r="C580">
        <v>12833.613086336863</v>
      </c>
      <c r="D580" s="9">
        <f t="shared" si="32"/>
        <v>300000</v>
      </c>
      <c r="E580" s="9">
        <f t="shared" si="33"/>
        <v>398352.91604358039</v>
      </c>
      <c r="G580">
        <v>7064.7602771080656</v>
      </c>
      <c r="H580" s="9">
        <f t="shared" si="35"/>
        <v>300000</v>
      </c>
      <c r="I580" s="9">
        <f t="shared" si="34"/>
        <v>-5466.7806024354068</v>
      </c>
    </row>
    <row r="581" spans="3:9" x14ac:dyDescent="0.35">
      <c r="C581">
        <v>13516.92251350444</v>
      </c>
      <c r="D581" s="9">
        <f t="shared" si="32"/>
        <v>300000</v>
      </c>
      <c r="E581" s="9">
        <f t="shared" si="33"/>
        <v>446184.57594531076</v>
      </c>
      <c r="G581">
        <v>3210.5777153843806</v>
      </c>
      <c r="H581" s="9">
        <f t="shared" si="35"/>
        <v>160528.88576921902</v>
      </c>
      <c r="I581" s="9">
        <f t="shared" si="34"/>
        <v>-275259.55992309336</v>
      </c>
    </row>
    <row r="582" spans="3:9" x14ac:dyDescent="0.35">
      <c r="C582">
        <v>13105.075228125857</v>
      </c>
      <c r="D582" s="9">
        <f t="shared" si="32"/>
        <v>300000</v>
      </c>
      <c r="E582" s="9">
        <f t="shared" si="33"/>
        <v>417355.26596881007</v>
      </c>
      <c r="G582">
        <v>4254.7685171056246</v>
      </c>
      <c r="H582" s="9">
        <f t="shared" si="35"/>
        <v>212738.42585528124</v>
      </c>
      <c r="I582" s="9">
        <f t="shared" si="34"/>
        <v>-202166.20380260627</v>
      </c>
    </row>
    <row r="583" spans="3:9" x14ac:dyDescent="0.35">
      <c r="C583">
        <v>15088.167973876156</v>
      </c>
      <c r="D583" s="9">
        <f t="shared" si="32"/>
        <v>300000</v>
      </c>
      <c r="E583" s="9">
        <f t="shared" si="33"/>
        <v>550000</v>
      </c>
      <c r="G583">
        <v>7771.5689565721605</v>
      </c>
      <c r="H583" s="9">
        <f t="shared" si="35"/>
        <v>300000</v>
      </c>
      <c r="I583" s="9">
        <f t="shared" si="34"/>
        <v>44009.826960051199</v>
      </c>
    </row>
    <row r="584" spans="3:9" x14ac:dyDescent="0.35">
      <c r="C584">
        <v>12411.999877925962</v>
      </c>
      <c r="D584" s="9">
        <f t="shared" si="32"/>
        <v>300000</v>
      </c>
      <c r="E584" s="9">
        <f t="shared" si="33"/>
        <v>368839.99145481735</v>
      </c>
      <c r="G584">
        <v>4488.8454847865232</v>
      </c>
      <c r="H584" s="9">
        <f t="shared" si="35"/>
        <v>224442.27423932616</v>
      </c>
      <c r="I584" s="9">
        <f t="shared" si="34"/>
        <v>-185780.81606494338</v>
      </c>
    </row>
    <row r="585" spans="3:9" x14ac:dyDescent="0.35">
      <c r="C585">
        <v>16575.3349406415</v>
      </c>
      <c r="D585" s="9">
        <f t="shared" si="32"/>
        <v>300000</v>
      </c>
      <c r="E585" s="9">
        <f t="shared" si="33"/>
        <v>550000</v>
      </c>
      <c r="G585">
        <v>3390.9421063875238</v>
      </c>
      <c r="H585" s="9">
        <f t="shared" si="35"/>
        <v>169547.10531937619</v>
      </c>
      <c r="I585" s="9">
        <f t="shared" si="34"/>
        <v>-262634.05255287333</v>
      </c>
    </row>
    <row r="586" spans="3:9" x14ac:dyDescent="0.35">
      <c r="C586">
        <v>15317.361980040896</v>
      </c>
      <c r="D586" s="9">
        <f t="shared" si="32"/>
        <v>300000</v>
      </c>
      <c r="E586" s="9">
        <f t="shared" si="33"/>
        <v>550000</v>
      </c>
      <c r="G586">
        <v>4451.1551255836666</v>
      </c>
      <c r="H586" s="9">
        <f t="shared" si="35"/>
        <v>222557.75627918332</v>
      </c>
      <c r="I586" s="9">
        <f t="shared" si="34"/>
        <v>-188419.14120914333</v>
      </c>
    </row>
    <row r="587" spans="3:9" x14ac:dyDescent="0.35">
      <c r="C587">
        <v>13987.975707266458</v>
      </c>
      <c r="D587" s="9">
        <f t="shared" si="32"/>
        <v>300000</v>
      </c>
      <c r="E587" s="9">
        <f t="shared" si="33"/>
        <v>479158.29950865207</v>
      </c>
      <c r="G587">
        <v>5683.6451307718125</v>
      </c>
      <c r="H587" s="9">
        <f t="shared" si="35"/>
        <v>284182.25653859065</v>
      </c>
      <c r="I587" s="9">
        <f t="shared" si="34"/>
        <v>-102144.84084597311</v>
      </c>
    </row>
    <row r="588" spans="3:9" x14ac:dyDescent="0.35">
      <c r="C588">
        <v>15010.803552354502</v>
      </c>
      <c r="D588" s="9">
        <f t="shared" ref="D588:D651" si="36">50*MIN(C588,6000)</f>
        <v>300000</v>
      </c>
      <c r="E588" s="9">
        <f t="shared" ref="E588:E651" si="37">70*MIN(C588,15000)-500000</f>
        <v>550000</v>
      </c>
      <c r="G588">
        <v>3110.3244117557297</v>
      </c>
      <c r="H588" s="9">
        <f t="shared" si="35"/>
        <v>155516.22058778649</v>
      </c>
      <c r="I588" s="9">
        <f t="shared" ref="I588:I651" si="38">70*MIN(G588,15000)-500000</f>
        <v>-282277.29117709893</v>
      </c>
    </row>
    <row r="589" spans="3:9" x14ac:dyDescent="0.35">
      <c r="C589">
        <v>13159.550767540513</v>
      </c>
      <c r="D589" s="9">
        <f t="shared" si="36"/>
        <v>300000</v>
      </c>
      <c r="E589" s="9">
        <f t="shared" si="37"/>
        <v>421168.55372783588</v>
      </c>
      <c r="G589">
        <v>6869.2892239143039</v>
      </c>
      <c r="H589" s="9">
        <f t="shared" ref="H589:H652" si="39">50*MIN(G589,6000)</f>
        <v>300000</v>
      </c>
      <c r="I589" s="9">
        <f t="shared" si="38"/>
        <v>-19149.754325998714</v>
      </c>
    </row>
    <row r="590" spans="3:9" x14ac:dyDescent="0.35">
      <c r="C590">
        <v>15596.758934293648</v>
      </c>
      <c r="D590" s="9">
        <f t="shared" si="36"/>
        <v>300000</v>
      </c>
      <c r="E590" s="9">
        <f t="shared" si="37"/>
        <v>550000</v>
      </c>
      <c r="G590">
        <v>6740.6537064729764</v>
      </c>
      <c r="H590" s="9">
        <f t="shared" si="39"/>
        <v>300000</v>
      </c>
      <c r="I590" s="9">
        <f t="shared" si="38"/>
        <v>-28154.24054689164</v>
      </c>
    </row>
    <row r="591" spans="3:9" x14ac:dyDescent="0.35">
      <c r="C591">
        <v>13530.35065767388</v>
      </c>
      <c r="D591" s="9">
        <f t="shared" si="36"/>
        <v>300000</v>
      </c>
      <c r="E591" s="9">
        <f t="shared" si="37"/>
        <v>447124.54603717162</v>
      </c>
      <c r="G591">
        <v>3386.8221076082646</v>
      </c>
      <c r="H591" s="9">
        <f t="shared" si="39"/>
        <v>169341.10538041324</v>
      </c>
      <c r="I591" s="9">
        <f t="shared" si="38"/>
        <v>-262922.45246742148</v>
      </c>
    </row>
    <row r="592" spans="3:9" x14ac:dyDescent="0.35">
      <c r="C592">
        <v>13806.848353526413</v>
      </c>
      <c r="D592" s="9">
        <f t="shared" si="36"/>
        <v>300000</v>
      </c>
      <c r="E592" s="9">
        <f t="shared" si="37"/>
        <v>466479.38474684895</v>
      </c>
      <c r="G592">
        <v>3052.1866512039551</v>
      </c>
      <c r="H592" s="9">
        <f t="shared" si="39"/>
        <v>152609.33256019774</v>
      </c>
      <c r="I592" s="9">
        <f t="shared" si="38"/>
        <v>-286346.93441572314</v>
      </c>
    </row>
    <row r="593" spans="3:9" x14ac:dyDescent="0.35">
      <c r="C593">
        <v>13809.442426831873</v>
      </c>
      <c r="D593" s="9">
        <f t="shared" si="36"/>
        <v>300000</v>
      </c>
      <c r="E593" s="9">
        <f t="shared" si="37"/>
        <v>466660.96987823106</v>
      </c>
      <c r="G593">
        <v>7584.7956785790584</v>
      </c>
      <c r="H593" s="9">
        <f t="shared" si="39"/>
        <v>300000</v>
      </c>
      <c r="I593" s="9">
        <f t="shared" si="38"/>
        <v>30935.697500534123</v>
      </c>
    </row>
    <row r="594" spans="3:9" x14ac:dyDescent="0.35">
      <c r="C594">
        <v>14613.45255897702</v>
      </c>
      <c r="D594" s="9">
        <f t="shared" si="36"/>
        <v>300000</v>
      </c>
      <c r="E594" s="9">
        <f t="shared" si="37"/>
        <v>522941.67912839144</v>
      </c>
      <c r="G594">
        <v>3877.5597399822991</v>
      </c>
      <c r="H594" s="9">
        <f t="shared" si="39"/>
        <v>193877.98699911495</v>
      </c>
      <c r="I594" s="9">
        <f t="shared" si="38"/>
        <v>-228570.81820123905</v>
      </c>
    </row>
    <row r="595" spans="3:9" x14ac:dyDescent="0.35">
      <c r="C595">
        <v>12341.654713583788</v>
      </c>
      <c r="D595" s="9">
        <f t="shared" si="36"/>
        <v>300000</v>
      </c>
      <c r="E595" s="9">
        <f t="shared" si="37"/>
        <v>363915.82995086513</v>
      </c>
      <c r="G595">
        <v>6400.6775109103673</v>
      </c>
      <c r="H595" s="9">
        <f t="shared" si="39"/>
        <v>300000</v>
      </c>
      <c r="I595" s="9">
        <f t="shared" si="38"/>
        <v>-51952.574236274289</v>
      </c>
    </row>
    <row r="596" spans="3:9" x14ac:dyDescent="0.35">
      <c r="C596">
        <v>13508.377330851161</v>
      </c>
      <c r="D596" s="9">
        <f t="shared" si="36"/>
        <v>300000</v>
      </c>
      <c r="E596" s="9">
        <f t="shared" si="37"/>
        <v>445586.41315958125</v>
      </c>
      <c r="G596">
        <v>3912.1982482375561</v>
      </c>
      <c r="H596" s="9">
        <f t="shared" si="39"/>
        <v>195609.9124118778</v>
      </c>
      <c r="I596" s="9">
        <f t="shared" si="38"/>
        <v>-226146.12262337108</v>
      </c>
    </row>
    <row r="597" spans="3:9" x14ac:dyDescent="0.35">
      <c r="C597">
        <v>15135.319071016573</v>
      </c>
      <c r="D597" s="9">
        <f t="shared" si="36"/>
        <v>300000</v>
      </c>
      <c r="E597" s="9">
        <f t="shared" si="37"/>
        <v>550000</v>
      </c>
      <c r="G597">
        <v>5781.3043610950044</v>
      </c>
      <c r="H597" s="9">
        <f t="shared" si="39"/>
        <v>289065.21805475024</v>
      </c>
      <c r="I597" s="9">
        <f t="shared" si="38"/>
        <v>-95308.694723349705</v>
      </c>
    </row>
    <row r="598" spans="3:9" x14ac:dyDescent="0.35">
      <c r="C598">
        <v>12830.408642841883</v>
      </c>
      <c r="D598" s="9">
        <f t="shared" si="36"/>
        <v>300000</v>
      </c>
      <c r="E598" s="9">
        <f t="shared" si="37"/>
        <v>398128.60499893187</v>
      </c>
      <c r="G598">
        <v>5524.6436964018676</v>
      </c>
      <c r="H598" s="9">
        <f t="shared" si="39"/>
        <v>276232.18482009339</v>
      </c>
      <c r="I598" s="9">
        <f t="shared" si="38"/>
        <v>-113274.94125186926</v>
      </c>
    </row>
    <row r="599" spans="3:9" x14ac:dyDescent="0.35">
      <c r="C599">
        <v>15647.267067476425</v>
      </c>
      <c r="D599" s="9">
        <f t="shared" si="36"/>
        <v>300000</v>
      </c>
      <c r="E599" s="9">
        <f t="shared" si="37"/>
        <v>550000</v>
      </c>
      <c r="G599">
        <v>7056.9780571916872</v>
      </c>
      <c r="H599" s="9">
        <f t="shared" si="39"/>
        <v>300000</v>
      </c>
      <c r="I599" s="9">
        <f t="shared" si="38"/>
        <v>-6011.5359965818934</v>
      </c>
    </row>
    <row r="600" spans="3:9" x14ac:dyDescent="0.35">
      <c r="C600">
        <v>16099.398785363323</v>
      </c>
      <c r="D600" s="9">
        <f t="shared" si="36"/>
        <v>300000</v>
      </c>
      <c r="E600" s="9">
        <f t="shared" si="37"/>
        <v>550000</v>
      </c>
      <c r="G600">
        <v>7230.4757835627306</v>
      </c>
      <c r="H600" s="9">
        <f t="shared" si="39"/>
        <v>300000</v>
      </c>
      <c r="I600" s="9">
        <f t="shared" si="38"/>
        <v>6133.3048493911629</v>
      </c>
    </row>
    <row r="601" spans="3:9" x14ac:dyDescent="0.35">
      <c r="C601">
        <v>15709.219641712698</v>
      </c>
      <c r="D601" s="9">
        <f t="shared" si="36"/>
        <v>300000</v>
      </c>
      <c r="E601" s="9">
        <f t="shared" si="37"/>
        <v>550000</v>
      </c>
      <c r="G601">
        <v>3724.0516373180335</v>
      </c>
      <c r="H601" s="9">
        <f t="shared" si="39"/>
        <v>186202.58186590168</v>
      </c>
      <c r="I601" s="9">
        <f t="shared" si="38"/>
        <v>-239316.38538773765</v>
      </c>
    </row>
    <row r="602" spans="3:9" x14ac:dyDescent="0.35">
      <c r="C602">
        <v>13460.615863521225</v>
      </c>
      <c r="D602" s="9">
        <f t="shared" si="36"/>
        <v>300000</v>
      </c>
      <c r="E602" s="9">
        <f t="shared" si="37"/>
        <v>442243.11044648581</v>
      </c>
      <c r="G602">
        <v>6723.2581560716571</v>
      </c>
      <c r="H602" s="9">
        <f t="shared" si="39"/>
        <v>300000</v>
      </c>
      <c r="I602" s="9">
        <f t="shared" si="38"/>
        <v>-29371.929074983986</v>
      </c>
    </row>
    <row r="603" spans="3:9" x14ac:dyDescent="0.35">
      <c r="C603">
        <v>14523.270363475447</v>
      </c>
      <c r="D603" s="9">
        <f t="shared" si="36"/>
        <v>300000</v>
      </c>
      <c r="E603" s="9">
        <f t="shared" si="37"/>
        <v>516628.9254432813</v>
      </c>
      <c r="G603">
        <v>7217.0476393932922</v>
      </c>
      <c r="H603" s="9">
        <f t="shared" si="39"/>
        <v>300000</v>
      </c>
      <c r="I603" s="9">
        <f t="shared" si="38"/>
        <v>5193.3347575304797</v>
      </c>
    </row>
    <row r="604" spans="3:9" x14ac:dyDescent="0.35">
      <c r="C604">
        <v>13704.306161687064</v>
      </c>
      <c r="D604" s="9">
        <f t="shared" si="36"/>
        <v>300000</v>
      </c>
      <c r="E604" s="9">
        <f t="shared" si="37"/>
        <v>459301.43131809449</v>
      </c>
      <c r="G604">
        <v>3969.267860957671</v>
      </c>
      <c r="H604" s="9">
        <f t="shared" si="39"/>
        <v>198463.39304788355</v>
      </c>
      <c r="I604" s="9">
        <f t="shared" si="38"/>
        <v>-222151.24973296304</v>
      </c>
    </row>
    <row r="605" spans="3:9" x14ac:dyDescent="0.35">
      <c r="C605">
        <v>15595.53819391461</v>
      </c>
      <c r="D605" s="9">
        <f t="shared" si="36"/>
        <v>300000</v>
      </c>
      <c r="E605" s="9">
        <f t="shared" si="37"/>
        <v>550000</v>
      </c>
      <c r="G605">
        <v>6390.7589953306688</v>
      </c>
      <c r="H605" s="9">
        <f t="shared" si="39"/>
        <v>300000</v>
      </c>
      <c r="I605" s="9">
        <f t="shared" si="38"/>
        <v>-52646.870326853183</v>
      </c>
    </row>
    <row r="606" spans="3:9" x14ac:dyDescent="0.35">
      <c r="C606">
        <v>14496.56666768395</v>
      </c>
      <c r="D606" s="9">
        <f t="shared" si="36"/>
        <v>300000</v>
      </c>
      <c r="E606" s="9">
        <f t="shared" si="37"/>
        <v>514759.66673787648</v>
      </c>
      <c r="G606">
        <v>6450.5752739036234</v>
      </c>
      <c r="H606" s="9">
        <f t="shared" si="39"/>
        <v>300000</v>
      </c>
      <c r="I606" s="9">
        <f t="shared" si="38"/>
        <v>-48459.730826746381</v>
      </c>
    </row>
    <row r="607" spans="3:9" x14ac:dyDescent="0.35">
      <c r="C607">
        <v>12934.629352702414</v>
      </c>
      <c r="D607" s="9">
        <f t="shared" si="36"/>
        <v>300000</v>
      </c>
      <c r="E607" s="9">
        <f t="shared" si="37"/>
        <v>405424.05468916893</v>
      </c>
      <c r="G607">
        <v>5722.5562303537099</v>
      </c>
      <c r="H607" s="9">
        <f t="shared" si="39"/>
        <v>286127.81151768548</v>
      </c>
      <c r="I607" s="9">
        <f t="shared" si="38"/>
        <v>-99421.063875240332</v>
      </c>
    </row>
    <row r="608" spans="3:9" x14ac:dyDescent="0.35">
      <c r="C608">
        <v>13102.938932462539</v>
      </c>
      <c r="D608" s="9">
        <f t="shared" si="36"/>
        <v>300000</v>
      </c>
      <c r="E608" s="9">
        <f t="shared" si="37"/>
        <v>417205.72527237772</v>
      </c>
      <c r="G608">
        <v>7782.55561998352</v>
      </c>
      <c r="H608" s="9">
        <f t="shared" si="39"/>
        <v>300000</v>
      </c>
      <c r="I608" s="9">
        <f t="shared" si="38"/>
        <v>44778.893398846383</v>
      </c>
    </row>
    <row r="609" spans="3:9" x14ac:dyDescent="0.35">
      <c r="C609">
        <v>15932.462538529619</v>
      </c>
      <c r="D609" s="9">
        <f t="shared" si="36"/>
        <v>300000</v>
      </c>
      <c r="E609" s="9">
        <f t="shared" si="37"/>
        <v>550000</v>
      </c>
      <c r="G609">
        <v>4785.3328043458359</v>
      </c>
      <c r="H609" s="9">
        <f t="shared" si="39"/>
        <v>239266.6402172918</v>
      </c>
      <c r="I609" s="9">
        <f t="shared" si="38"/>
        <v>-165026.70369579148</v>
      </c>
    </row>
    <row r="610" spans="3:9" x14ac:dyDescent="0.35">
      <c r="C610">
        <v>15592.638935514389</v>
      </c>
      <c r="D610" s="9">
        <f t="shared" si="36"/>
        <v>300000</v>
      </c>
      <c r="E610" s="9">
        <f t="shared" si="37"/>
        <v>550000</v>
      </c>
      <c r="G610">
        <v>3297.4028748435926</v>
      </c>
      <c r="H610" s="9">
        <f t="shared" si="39"/>
        <v>164870.14374217964</v>
      </c>
      <c r="I610" s="9">
        <f t="shared" si="38"/>
        <v>-269181.79876094853</v>
      </c>
    </row>
    <row r="611" spans="3:9" x14ac:dyDescent="0.35">
      <c r="C611">
        <v>15211.004974517044</v>
      </c>
      <c r="D611" s="9">
        <f t="shared" si="36"/>
        <v>300000</v>
      </c>
      <c r="E611" s="9">
        <f t="shared" si="37"/>
        <v>550000</v>
      </c>
      <c r="G611">
        <v>4489.4558549760432</v>
      </c>
      <c r="H611" s="9">
        <f t="shared" si="39"/>
        <v>224472.79274880217</v>
      </c>
      <c r="I611" s="9">
        <f t="shared" si="38"/>
        <v>-185738.09015167697</v>
      </c>
    </row>
    <row r="612" spans="3:9" x14ac:dyDescent="0.35">
      <c r="C612">
        <v>13926.480910672322</v>
      </c>
      <c r="D612" s="9">
        <f t="shared" si="36"/>
        <v>300000</v>
      </c>
      <c r="E612" s="9">
        <f t="shared" si="37"/>
        <v>474853.66374706256</v>
      </c>
      <c r="G612">
        <v>7356.822412793359</v>
      </c>
      <c r="H612" s="9">
        <f t="shared" si="39"/>
        <v>300000</v>
      </c>
      <c r="I612" s="9">
        <f t="shared" si="38"/>
        <v>14977.568895535136</v>
      </c>
    </row>
    <row r="613" spans="3:9" x14ac:dyDescent="0.35">
      <c r="C613">
        <v>12467.238380077517</v>
      </c>
      <c r="D613" s="9">
        <f t="shared" si="36"/>
        <v>300000</v>
      </c>
      <c r="E613" s="9">
        <f t="shared" si="37"/>
        <v>372706.68660542613</v>
      </c>
      <c r="G613">
        <v>7039.4299142429882</v>
      </c>
      <c r="H613" s="9">
        <f t="shared" si="39"/>
        <v>300000</v>
      </c>
      <c r="I613" s="9">
        <f t="shared" si="38"/>
        <v>-7239.9060029908433</v>
      </c>
    </row>
    <row r="614" spans="3:9" x14ac:dyDescent="0.35">
      <c r="C614">
        <v>13083.4070863979</v>
      </c>
      <c r="D614" s="9">
        <f t="shared" si="36"/>
        <v>300000</v>
      </c>
      <c r="E614" s="9">
        <f t="shared" si="37"/>
        <v>415838.49604785303</v>
      </c>
      <c r="G614">
        <v>7794.7630237739186</v>
      </c>
      <c r="H614" s="9">
        <f t="shared" si="39"/>
        <v>300000</v>
      </c>
      <c r="I614" s="9">
        <f t="shared" si="38"/>
        <v>45633.411664174288</v>
      </c>
    </row>
    <row r="615" spans="3:9" x14ac:dyDescent="0.35">
      <c r="C615">
        <v>14118.137150181585</v>
      </c>
      <c r="D615" s="9">
        <f t="shared" si="36"/>
        <v>300000</v>
      </c>
      <c r="E615" s="9">
        <f t="shared" si="37"/>
        <v>488269.60051271098</v>
      </c>
      <c r="G615">
        <v>4652.7298806726276</v>
      </c>
      <c r="H615" s="9">
        <f t="shared" si="39"/>
        <v>232636.49403363137</v>
      </c>
      <c r="I615" s="9">
        <f t="shared" si="38"/>
        <v>-174308.90835291607</v>
      </c>
    </row>
    <row r="616" spans="3:9" x14ac:dyDescent="0.35">
      <c r="C616">
        <v>15067.110202337717</v>
      </c>
      <c r="D616" s="9">
        <f t="shared" si="36"/>
        <v>300000</v>
      </c>
      <c r="E616" s="9">
        <f t="shared" si="37"/>
        <v>550000</v>
      </c>
      <c r="G616">
        <v>3607.9287087618641</v>
      </c>
      <c r="H616" s="9">
        <f t="shared" si="39"/>
        <v>180396.43543809321</v>
      </c>
      <c r="I616" s="9">
        <f t="shared" si="38"/>
        <v>-247444.99038666952</v>
      </c>
    </row>
    <row r="617" spans="3:9" x14ac:dyDescent="0.35">
      <c r="C617">
        <v>14453.688161870174</v>
      </c>
      <c r="D617" s="9">
        <f t="shared" si="36"/>
        <v>300000</v>
      </c>
      <c r="E617" s="9">
        <f t="shared" si="37"/>
        <v>511758.17133091216</v>
      </c>
      <c r="G617">
        <v>4948.9120151371808</v>
      </c>
      <c r="H617" s="9">
        <f t="shared" si="39"/>
        <v>247445.60075685903</v>
      </c>
      <c r="I617" s="9">
        <f t="shared" si="38"/>
        <v>-153576.15894039732</v>
      </c>
    </row>
    <row r="618" spans="3:9" x14ac:dyDescent="0.35">
      <c r="C618">
        <v>13917.783135471664</v>
      </c>
      <c r="D618" s="9">
        <f t="shared" si="36"/>
        <v>300000</v>
      </c>
      <c r="E618" s="9">
        <f t="shared" si="37"/>
        <v>474244.8194830165</v>
      </c>
      <c r="G618">
        <v>3422.376171147801</v>
      </c>
      <c r="H618" s="9">
        <f t="shared" si="39"/>
        <v>171118.80855739006</v>
      </c>
      <c r="I618" s="9">
        <f t="shared" si="38"/>
        <v>-260433.66801965394</v>
      </c>
    </row>
    <row r="619" spans="3:9" x14ac:dyDescent="0.35">
      <c r="C619">
        <v>12182.348094119083</v>
      </c>
      <c r="D619" s="9">
        <f t="shared" si="36"/>
        <v>300000</v>
      </c>
      <c r="E619" s="9">
        <f t="shared" si="37"/>
        <v>352764.36658833583</v>
      </c>
      <c r="G619">
        <v>6662.6789147618038</v>
      </c>
      <c r="H619" s="9">
        <f t="shared" si="39"/>
        <v>300000</v>
      </c>
      <c r="I619" s="9">
        <f t="shared" si="38"/>
        <v>-33612.475966673752</v>
      </c>
    </row>
    <row r="620" spans="3:9" x14ac:dyDescent="0.35">
      <c r="C620">
        <v>16331.186864833522</v>
      </c>
      <c r="D620" s="9">
        <f t="shared" si="36"/>
        <v>300000</v>
      </c>
      <c r="E620" s="9">
        <f t="shared" si="37"/>
        <v>550000</v>
      </c>
      <c r="G620">
        <v>5010.5594042786952</v>
      </c>
      <c r="H620" s="9">
        <f t="shared" si="39"/>
        <v>250527.97021393475</v>
      </c>
      <c r="I620" s="9">
        <f t="shared" si="38"/>
        <v>-149260.84170049132</v>
      </c>
    </row>
    <row r="621" spans="3:9" x14ac:dyDescent="0.35">
      <c r="C621">
        <v>12816.217535935544</v>
      </c>
      <c r="D621" s="9">
        <f t="shared" si="36"/>
        <v>300000</v>
      </c>
      <c r="E621" s="9">
        <f t="shared" si="37"/>
        <v>397135.22751548805</v>
      </c>
      <c r="G621">
        <v>6110.5990783410143</v>
      </c>
      <c r="H621" s="9">
        <f t="shared" si="39"/>
        <v>300000</v>
      </c>
      <c r="I621" s="9">
        <f t="shared" si="38"/>
        <v>-72258.064516128972</v>
      </c>
    </row>
    <row r="622" spans="3:9" x14ac:dyDescent="0.35">
      <c r="C622">
        <v>16788.65932187872</v>
      </c>
      <c r="D622" s="9">
        <f t="shared" si="36"/>
        <v>300000</v>
      </c>
      <c r="E622" s="9">
        <f t="shared" si="37"/>
        <v>550000</v>
      </c>
      <c r="G622">
        <v>5831.8124942777795</v>
      </c>
      <c r="H622" s="9">
        <f t="shared" si="39"/>
        <v>291590.62471388897</v>
      </c>
      <c r="I622" s="9">
        <f t="shared" si="38"/>
        <v>-91773.125400555436</v>
      </c>
    </row>
    <row r="623" spans="3:9" x14ac:dyDescent="0.35">
      <c r="C623">
        <v>16422.284615619374</v>
      </c>
      <c r="D623" s="9">
        <f t="shared" si="36"/>
        <v>300000</v>
      </c>
      <c r="E623" s="9">
        <f t="shared" si="37"/>
        <v>550000</v>
      </c>
      <c r="G623">
        <v>5745.9028901028478</v>
      </c>
      <c r="H623" s="9">
        <f t="shared" si="39"/>
        <v>287295.14450514241</v>
      </c>
      <c r="I623" s="9">
        <f t="shared" si="38"/>
        <v>-97786.797692800639</v>
      </c>
    </row>
    <row r="624" spans="3:9" x14ac:dyDescent="0.35">
      <c r="C624">
        <v>14868.587298196357</v>
      </c>
      <c r="D624" s="9">
        <f t="shared" si="36"/>
        <v>300000</v>
      </c>
      <c r="E624" s="9">
        <f t="shared" si="37"/>
        <v>540801.11087374494</v>
      </c>
      <c r="G624">
        <v>6844.264046143986</v>
      </c>
      <c r="H624" s="9">
        <f t="shared" si="39"/>
        <v>300000</v>
      </c>
      <c r="I624" s="9">
        <f t="shared" si="38"/>
        <v>-20901.516769921</v>
      </c>
    </row>
    <row r="625" spans="3:9" x14ac:dyDescent="0.35">
      <c r="C625">
        <v>13989.349040192878</v>
      </c>
      <c r="D625" s="9">
        <f t="shared" si="36"/>
        <v>300000</v>
      </c>
      <c r="E625" s="9">
        <f t="shared" si="37"/>
        <v>479254.43281350145</v>
      </c>
      <c r="G625">
        <v>4306.4973906674404</v>
      </c>
      <c r="H625" s="9">
        <f t="shared" si="39"/>
        <v>215324.86953337202</v>
      </c>
      <c r="I625" s="9">
        <f t="shared" si="38"/>
        <v>-198545.18265327916</v>
      </c>
    </row>
    <row r="626" spans="3:9" x14ac:dyDescent="0.35">
      <c r="C626">
        <v>16243.446150090029</v>
      </c>
      <c r="D626" s="9">
        <f t="shared" si="36"/>
        <v>300000</v>
      </c>
      <c r="E626" s="9">
        <f t="shared" si="37"/>
        <v>550000</v>
      </c>
      <c r="G626">
        <v>7311.0446485793636</v>
      </c>
      <c r="H626" s="9">
        <f t="shared" si="39"/>
        <v>300000</v>
      </c>
      <c r="I626" s="9">
        <f t="shared" si="38"/>
        <v>11773.125400555436</v>
      </c>
    </row>
    <row r="627" spans="3:9" x14ac:dyDescent="0.35">
      <c r="C627">
        <v>14145.298623615223</v>
      </c>
      <c r="D627" s="9">
        <f t="shared" si="36"/>
        <v>300000</v>
      </c>
      <c r="E627" s="9">
        <f t="shared" si="37"/>
        <v>490170.90365306556</v>
      </c>
      <c r="G627">
        <v>6632.1604052858056</v>
      </c>
      <c r="H627" s="9">
        <f t="shared" si="39"/>
        <v>300000</v>
      </c>
      <c r="I627" s="9">
        <f t="shared" si="38"/>
        <v>-35748.771629993629</v>
      </c>
    </row>
    <row r="628" spans="3:9" x14ac:dyDescent="0.35">
      <c r="C628">
        <v>13407.513657032991</v>
      </c>
      <c r="D628" s="9">
        <f t="shared" si="36"/>
        <v>300000</v>
      </c>
      <c r="E628" s="9">
        <f t="shared" si="37"/>
        <v>438525.95599230938</v>
      </c>
      <c r="G628">
        <v>7637.4401074251527</v>
      </c>
      <c r="H628" s="9">
        <f t="shared" si="39"/>
        <v>300000</v>
      </c>
      <c r="I628" s="9">
        <f t="shared" si="38"/>
        <v>34620.807519760681</v>
      </c>
    </row>
    <row r="629" spans="3:9" x14ac:dyDescent="0.35">
      <c r="C629">
        <v>13335.337382122258</v>
      </c>
      <c r="D629" s="9">
        <f t="shared" si="36"/>
        <v>300000</v>
      </c>
      <c r="E629" s="9">
        <f t="shared" si="37"/>
        <v>433473.61674855801</v>
      </c>
      <c r="G629">
        <v>3299.6917630542926</v>
      </c>
      <c r="H629" s="9">
        <f t="shared" si="39"/>
        <v>164984.58815271463</v>
      </c>
      <c r="I629" s="9">
        <f t="shared" si="38"/>
        <v>-269021.57658619952</v>
      </c>
    </row>
    <row r="630" spans="3:9" x14ac:dyDescent="0.35">
      <c r="C630">
        <v>13053.041169469283</v>
      </c>
      <c r="D630" s="9">
        <f t="shared" si="36"/>
        <v>300000</v>
      </c>
      <c r="E630" s="9">
        <f t="shared" si="37"/>
        <v>413712.88186284981</v>
      </c>
      <c r="G630">
        <v>6026.8257698294019</v>
      </c>
      <c r="H630" s="9">
        <f t="shared" si="39"/>
        <v>300000</v>
      </c>
      <c r="I630" s="9">
        <f t="shared" si="38"/>
        <v>-78122.196111941885</v>
      </c>
    </row>
    <row r="631" spans="3:9" x14ac:dyDescent="0.35">
      <c r="C631">
        <v>14965.330973235268</v>
      </c>
      <c r="D631" s="9">
        <f t="shared" si="36"/>
        <v>300000</v>
      </c>
      <c r="E631" s="9">
        <f t="shared" si="37"/>
        <v>547573.16812646878</v>
      </c>
      <c r="G631">
        <v>3954.9241615039523</v>
      </c>
      <c r="H631" s="9">
        <f t="shared" si="39"/>
        <v>197746.20807519762</v>
      </c>
      <c r="I631" s="9">
        <f t="shared" si="38"/>
        <v>-223155.30869472335</v>
      </c>
    </row>
    <row r="632" spans="3:9" x14ac:dyDescent="0.35">
      <c r="C632">
        <v>14828.608050782801</v>
      </c>
      <c r="D632" s="9">
        <f t="shared" si="36"/>
        <v>300000</v>
      </c>
      <c r="E632" s="9">
        <f t="shared" si="37"/>
        <v>538002.56355479604</v>
      </c>
      <c r="G632">
        <v>3589.1598254341257</v>
      </c>
      <c r="H632" s="9">
        <f t="shared" si="39"/>
        <v>179457.99127170627</v>
      </c>
      <c r="I632" s="9">
        <f t="shared" si="38"/>
        <v>-248758.81221961119</v>
      </c>
    </row>
    <row r="633" spans="3:9" x14ac:dyDescent="0.35">
      <c r="C633">
        <v>14549.363689077425</v>
      </c>
      <c r="D633" s="9">
        <f t="shared" si="36"/>
        <v>300000</v>
      </c>
      <c r="E633" s="9">
        <f t="shared" si="37"/>
        <v>518455.4582354197</v>
      </c>
      <c r="G633">
        <v>6693.1974242378001</v>
      </c>
      <c r="H633" s="9">
        <f t="shared" si="39"/>
        <v>300000</v>
      </c>
      <c r="I633" s="9">
        <f t="shared" si="38"/>
        <v>-31476.180303353991</v>
      </c>
    </row>
    <row r="634" spans="3:9" x14ac:dyDescent="0.35">
      <c r="C634">
        <v>16622.180852687154</v>
      </c>
      <c r="D634" s="9">
        <f t="shared" si="36"/>
        <v>300000</v>
      </c>
      <c r="E634" s="9">
        <f t="shared" si="37"/>
        <v>550000</v>
      </c>
      <c r="G634">
        <v>7071.7795342875452</v>
      </c>
      <c r="H634" s="9">
        <f t="shared" si="39"/>
        <v>300000</v>
      </c>
      <c r="I634" s="9">
        <f t="shared" si="38"/>
        <v>-4975.4325998718268</v>
      </c>
    </row>
    <row r="635" spans="3:9" x14ac:dyDescent="0.35">
      <c r="C635">
        <v>16695.883053071688</v>
      </c>
      <c r="D635" s="9">
        <f t="shared" si="36"/>
        <v>300000</v>
      </c>
      <c r="E635" s="9">
        <f t="shared" si="37"/>
        <v>550000</v>
      </c>
      <c r="G635">
        <v>7233.3750419629505</v>
      </c>
      <c r="H635" s="9">
        <f t="shared" si="39"/>
        <v>300000</v>
      </c>
      <c r="I635" s="9">
        <f t="shared" si="38"/>
        <v>6336.2529374065343</v>
      </c>
    </row>
    <row r="636" spans="3:9" x14ac:dyDescent="0.35">
      <c r="C636">
        <v>15106.479079561754</v>
      </c>
      <c r="D636" s="9">
        <f t="shared" si="36"/>
        <v>300000</v>
      </c>
      <c r="E636" s="9">
        <f t="shared" si="37"/>
        <v>550000</v>
      </c>
      <c r="G636">
        <v>4250.8011108737446</v>
      </c>
      <c r="H636" s="9">
        <f t="shared" si="39"/>
        <v>212540.05554368722</v>
      </c>
      <c r="I636" s="9">
        <f t="shared" si="38"/>
        <v>-202443.92223883787</v>
      </c>
    </row>
    <row r="637" spans="3:9" x14ac:dyDescent="0.35">
      <c r="C637">
        <v>13957.60979033784</v>
      </c>
      <c r="D637" s="9">
        <f t="shared" si="36"/>
        <v>300000</v>
      </c>
      <c r="E637" s="9">
        <f t="shared" si="37"/>
        <v>477032.68532364874</v>
      </c>
      <c r="G637">
        <v>4008.4841456343274</v>
      </c>
      <c r="H637" s="9">
        <f t="shared" si="39"/>
        <v>200424.20728171637</v>
      </c>
      <c r="I637" s="9">
        <f t="shared" si="38"/>
        <v>-219406.10980559711</v>
      </c>
    </row>
    <row r="638" spans="3:9" x14ac:dyDescent="0.35">
      <c r="C638">
        <v>12721.610156559953</v>
      </c>
      <c r="D638" s="9">
        <f t="shared" si="36"/>
        <v>300000</v>
      </c>
      <c r="E638" s="9">
        <f t="shared" si="37"/>
        <v>390512.71095919667</v>
      </c>
      <c r="G638">
        <v>4850.7950071718496</v>
      </c>
      <c r="H638" s="9">
        <f t="shared" si="39"/>
        <v>242539.75035859249</v>
      </c>
      <c r="I638" s="9">
        <f t="shared" si="38"/>
        <v>-160444.34949797054</v>
      </c>
    </row>
    <row r="639" spans="3:9" x14ac:dyDescent="0.35">
      <c r="C639">
        <v>15278.756065553758</v>
      </c>
      <c r="D639" s="9">
        <f t="shared" si="36"/>
        <v>300000</v>
      </c>
      <c r="E639" s="9">
        <f t="shared" si="37"/>
        <v>550000</v>
      </c>
      <c r="G639">
        <v>6838.6181218909269</v>
      </c>
      <c r="H639" s="9">
        <f t="shared" si="39"/>
        <v>300000</v>
      </c>
      <c r="I639" s="9">
        <f t="shared" si="38"/>
        <v>-21296.731467635138</v>
      </c>
    </row>
    <row r="640" spans="3:9" x14ac:dyDescent="0.35">
      <c r="C640">
        <v>14153.386028626363</v>
      </c>
      <c r="D640" s="9">
        <f t="shared" si="36"/>
        <v>300000</v>
      </c>
      <c r="E640" s="9">
        <f t="shared" si="37"/>
        <v>490737.02200384543</v>
      </c>
      <c r="G640">
        <v>5249.0615558336131</v>
      </c>
      <c r="H640" s="9">
        <f t="shared" si="39"/>
        <v>262453.07779168064</v>
      </c>
      <c r="I640" s="9">
        <f t="shared" si="38"/>
        <v>-132565.69109164708</v>
      </c>
    </row>
    <row r="641" spans="3:9" x14ac:dyDescent="0.35">
      <c r="C641">
        <v>16112.521744438003</v>
      </c>
      <c r="D641" s="9">
        <f t="shared" si="36"/>
        <v>300000</v>
      </c>
      <c r="E641" s="9">
        <f t="shared" si="37"/>
        <v>550000</v>
      </c>
      <c r="G641">
        <v>5644.1236610003962</v>
      </c>
      <c r="H641" s="9">
        <f t="shared" si="39"/>
        <v>282206.18305001978</v>
      </c>
      <c r="I641" s="9">
        <f t="shared" si="38"/>
        <v>-104911.34372997226</v>
      </c>
    </row>
    <row r="642" spans="3:9" x14ac:dyDescent="0.35">
      <c r="C642">
        <v>12324.86953337199</v>
      </c>
      <c r="D642" s="9">
        <f t="shared" si="36"/>
        <v>300000</v>
      </c>
      <c r="E642" s="9">
        <f t="shared" si="37"/>
        <v>362740.86733603931</v>
      </c>
      <c r="G642">
        <v>3836.5123447370829</v>
      </c>
      <c r="H642" s="9">
        <f t="shared" si="39"/>
        <v>191825.61723685416</v>
      </c>
      <c r="I642" s="9">
        <f t="shared" si="38"/>
        <v>-231444.13586840418</v>
      </c>
    </row>
    <row r="643" spans="3:9" x14ac:dyDescent="0.35">
      <c r="C643">
        <v>16399.700918607137</v>
      </c>
      <c r="D643" s="9">
        <f t="shared" si="36"/>
        <v>300000</v>
      </c>
      <c r="E643" s="9">
        <f t="shared" si="37"/>
        <v>550000</v>
      </c>
      <c r="G643">
        <v>4854.609820856349</v>
      </c>
      <c r="H643" s="9">
        <f t="shared" si="39"/>
        <v>242730.49104281745</v>
      </c>
      <c r="I643" s="9">
        <f t="shared" si="38"/>
        <v>-160177.3125400556</v>
      </c>
    </row>
    <row r="644" spans="3:9" x14ac:dyDescent="0.35">
      <c r="C644">
        <v>16593.646046327096</v>
      </c>
      <c r="D644" s="9">
        <f t="shared" si="36"/>
        <v>300000</v>
      </c>
      <c r="E644" s="9">
        <f t="shared" si="37"/>
        <v>550000</v>
      </c>
      <c r="G644">
        <v>6330.6375316629537</v>
      </c>
      <c r="H644" s="9">
        <f t="shared" si="39"/>
        <v>300000</v>
      </c>
      <c r="I644" s="9">
        <f t="shared" si="38"/>
        <v>-56855.372783593251</v>
      </c>
    </row>
    <row r="645" spans="3:9" x14ac:dyDescent="0.35">
      <c r="C645">
        <v>14594.988860744041</v>
      </c>
      <c r="D645" s="9">
        <f t="shared" si="36"/>
        <v>300000</v>
      </c>
      <c r="E645" s="9">
        <f t="shared" si="37"/>
        <v>521649.2202520828</v>
      </c>
      <c r="G645">
        <v>6863.9484847560052</v>
      </c>
      <c r="H645" s="9">
        <f t="shared" si="39"/>
        <v>300000</v>
      </c>
      <c r="I645" s="9">
        <f t="shared" si="38"/>
        <v>-19523.606067079643</v>
      </c>
    </row>
    <row r="646" spans="3:9" x14ac:dyDescent="0.35">
      <c r="C646">
        <v>14828.608050782801</v>
      </c>
      <c r="D646" s="9">
        <f t="shared" si="36"/>
        <v>300000</v>
      </c>
      <c r="E646" s="9">
        <f t="shared" si="37"/>
        <v>538002.56355479604</v>
      </c>
      <c r="G646">
        <v>7223.456526383251</v>
      </c>
      <c r="H646" s="9">
        <f t="shared" si="39"/>
        <v>300000</v>
      </c>
      <c r="I646" s="9">
        <f t="shared" si="38"/>
        <v>5641.9568468275829</v>
      </c>
    </row>
    <row r="647" spans="3:9" x14ac:dyDescent="0.35">
      <c r="C647">
        <v>13951.65868099002</v>
      </c>
      <c r="D647" s="9">
        <f t="shared" si="36"/>
        <v>300000</v>
      </c>
      <c r="E647" s="9">
        <f t="shared" si="37"/>
        <v>476616.10766930145</v>
      </c>
      <c r="G647">
        <v>7236.8846705526903</v>
      </c>
      <c r="H647" s="9">
        <f t="shared" si="39"/>
        <v>300000</v>
      </c>
      <c r="I647" s="9">
        <f t="shared" si="38"/>
        <v>6581.9269386883243</v>
      </c>
    </row>
    <row r="648" spans="3:9" x14ac:dyDescent="0.35">
      <c r="C648">
        <v>12000.91555528428</v>
      </c>
      <c r="D648" s="9">
        <f t="shared" si="36"/>
        <v>300000</v>
      </c>
      <c r="E648" s="9">
        <f t="shared" si="37"/>
        <v>340064.08886989963</v>
      </c>
      <c r="G648">
        <v>5511.0629596850486</v>
      </c>
      <c r="H648" s="9">
        <f t="shared" si="39"/>
        <v>275553.14798425243</v>
      </c>
      <c r="I648" s="9">
        <f t="shared" si="38"/>
        <v>-114225.5928220466</v>
      </c>
    </row>
    <row r="649" spans="3:9" x14ac:dyDescent="0.35">
      <c r="C649">
        <v>14426.831873531297</v>
      </c>
      <c r="D649" s="9">
        <f t="shared" si="36"/>
        <v>300000</v>
      </c>
      <c r="E649" s="9">
        <f t="shared" si="37"/>
        <v>509878.23114719079</v>
      </c>
      <c r="G649">
        <v>3477.156895657216</v>
      </c>
      <c r="H649" s="9">
        <f t="shared" si="39"/>
        <v>173857.8447828608</v>
      </c>
      <c r="I649" s="9">
        <f t="shared" si="38"/>
        <v>-256599.01730399489</v>
      </c>
    </row>
    <row r="650" spans="3:9" x14ac:dyDescent="0.35">
      <c r="C650">
        <v>16439.069795831172</v>
      </c>
      <c r="D650" s="9">
        <f t="shared" si="36"/>
        <v>300000</v>
      </c>
      <c r="E650" s="9">
        <f t="shared" si="37"/>
        <v>550000</v>
      </c>
      <c r="G650">
        <v>5515.945921201208</v>
      </c>
      <c r="H650" s="9">
        <f t="shared" si="39"/>
        <v>275797.29606006038</v>
      </c>
      <c r="I650" s="9">
        <f t="shared" si="38"/>
        <v>-113883.78551591543</v>
      </c>
    </row>
    <row r="651" spans="3:9" x14ac:dyDescent="0.35">
      <c r="C651">
        <v>12999.176000244148</v>
      </c>
      <c r="D651" s="9">
        <f t="shared" si="36"/>
        <v>300000</v>
      </c>
      <c r="E651" s="9">
        <f t="shared" si="37"/>
        <v>409942.3200170903</v>
      </c>
      <c r="G651">
        <v>6175.4509109775081</v>
      </c>
      <c r="H651" s="9">
        <f t="shared" si="39"/>
        <v>300000</v>
      </c>
      <c r="I651" s="9">
        <f t="shared" si="38"/>
        <v>-67718.436231574451</v>
      </c>
    </row>
    <row r="652" spans="3:9" x14ac:dyDescent="0.35">
      <c r="C652">
        <v>16629.963072603532</v>
      </c>
      <c r="D652" s="9">
        <f t="shared" ref="D652:D715" si="40">50*MIN(C652,6000)</f>
        <v>300000</v>
      </c>
      <c r="E652" s="9">
        <f t="shared" ref="E652:E715" si="41">70*MIN(C652,15000)-500000</f>
        <v>550000</v>
      </c>
      <c r="G652">
        <v>7607.9897457808165</v>
      </c>
      <c r="H652" s="9">
        <f t="shared" si="39"/>
        <v>300000</v>
      </c>
      <c r="I652" s="9">
        <f t="shared" ref="I652:I715" si="42">70*MIN(G652,15000)-500000</f>
        <v>32559.282204657211</v>
      </c>
    </row>
    <row r="653" spans="3:9" x14ac:dyDescent="0.35">
      <c r="C653">
        <v>15001.190221869565</v>
      </c>
      <c r="D653" s="9">
        <f t="shared" si="40"/>
        <v>300000</v>
      </c>
      <c r="E653" s="9">
        <f t="shared" si="41"/>
        <v>550000</v>
      </c>
      <c r="G653">
        <v>4363.4144108401742</v>
      </c>
      <c r="H653" s="9">
        <f t="shared" ref="H653:H716" si="43">50*MIN(G653,6000)</f>
        <v>218170.7205420087</v>
      </c>
      <c r="I653" s="9">
        <f t="shared" si="42"/>
        <v>-194560.99124118779</v>
      </c>
    </row>
    <row r="654" spans="3:9" x14ac:dyDescent="0.35">
      <c r="C654">
        <v>12007.01925717948</v>
      </c>
      <c r="D654" s="9">
        <f t="shared" si="40"/>
        <v>300000</v>
      </c>
      <c r="E654" s="9">
        <f t="shared" si="41"/>
        <v>340491.34800256358</v>
      </c>
      <c r="G654">
        <v>4577.8069399090546</v>
      </c>
      <c r="H654" s="9">
        <f t="shared" si="43"/>
        <v>228890.34699545274</v>
      </c>
      <c r="I654" s="9">
        <f t="shared" si="42"/>
        <v>-179553.51420636621</v>
      </c>
    </row>
    <row r="655" spans="3:9" x14ac:dyDescent="0.35">
      <c r="C655">
        <v>12400.708029419842</v>
      </c>
      <c r="D655" s="9">
        <f t="shared" si="40"/>
        <v>300000</v>
      </c>
      <c r="E655" s="9">
        <f t="shared" si="41"/>
        <v>368049.56205938896</v>
      </c>
      <c r="G655">
        <v>4071.5048677022614</v>
      </c>
      <c r="H655" s="9">
        <f t="shared" si="43"/>
        <v>203575.24338511308</v>
      </c>
      <c r="I655" s="9">
        <f t="shared" si="42"/>
        <v>-214994.65926084173</v>
      </c>
    </row>
    <row r="656" spans="3:9" x14ac:dyDescent="0.35">
      <c r="C656">
        <v>16172.795800653097</v>
      </c>
      <c r="D656" s="9">
        <f t="shared" si="40"/>
        <v>300000</v>
      </c>
      <c r="E656" s="9">
        <f t="shared" si="41"/>
        <v>550000</v>
      </c>
      <c r="G656">
        <v>7940.6414990691856</v>
      </c>
      <c r="H656" s="9">
        <f t="shared" si="43"/>
        <v>300000</v>
      </c>
      <c r="I656" s="9">
        <f t="shared" si="42"/>
        <v>55844.904934842954</v>
      </c>
    </row>
    <row r="657" spans="3:9" x14ac:dyDescent="0.35">
      <c r="C657">
        <v>14936.338389233069</v>
      </c>
      <c r="D657" s="9">
        <f t="shared" si="40"/>
        <v>300000</v>
      </c>
      <c r="E657" s="9">
        <f t="shared" si="41"/>
        <v>545543.68724631483</v>
      </c>
      <c r="G657">
        <v>3499.282815027314</v>
      </c>
      <c r="H657" s="9">
        <f t="shared" si="43"/>
        <v>174964.14075136569</v>
      </c>
      <c r="I657" s="9">
        <f t="shared" si="42"/>
        <v>-255050.20294808803</v>
      </c>
    </row>
    <row r="658" spans="3:9" x14ac:dyDescent="0.35">
      <c r="C658">
        <v>16090.090639973143</v>
      </c>
      <c r="D658" s="9">
        <f t="shared" si="40"/>
        <v>300000</v>
      </c>
      <c r="E658" s="9">
        <f t="shared" si="41"/>
        <v>550000</v>
      </c>
      <c r="G658">
        <v>5176.8852809228792</v>
      </c>
      <c r="H658" s="9">
        <f t="shared" si="43"/>
        <v>258844.26404614397</v>
      </c>
      <c r="I658" s="9">
        <f t="shared" si="42"/>
        <v>-137618.03033539845</v>
      </c>
    </row>
    <row r="659" spans="3:9" x14ac:dyDescent="0.35">
      <c r="C659">
        <v>14746.055482650227</v>
      </c>
      <c r="D659" s="9">
        <f t="shared" si="40"/>
        <v>300000</v>
      </c>
      <c r="E659" s="9">
        <f t="shared" si="41"/>
        <v>532223.88378551591</v>
      </c>
      <c r="G659">
        <v>3029.4503616443371</v>
      </c>
      <c r="H659" s="9">
        <f t="shared" si="43"/>
        <v>151472.51808221685</v>
      </c>
      <c r="I659" s="9">
        <f t="shared" si="42"/>
        <v>-287938.47468489641</v>
      </c>
    </row>
    <row r="660" spans="3:9" x14ac:dyDescent="0.35">
      <c r="C660">
        <v>16573.809015167699</v>
      </c>
      <c r="D660" s="9">
        <f t="shared" si="40"/>
        <v>300000</v>
      </c>
      <c r="E660" s="9">
        <f t="shared" si="41"/>
        <v>550000</v>
      </c>
      <c r="G660">
        <v>4476.0277108066039</v>
      </c>
      <c r="H660" s="9">
        <f t="shared" si="43"/>
        <v>223801.3855403302</v>
      </c>
      <c r="I660" s="9">
        <f t="shared" si="42"/>
        <v>-186678.06024353771</v>
      </c>
    </row>
    <row r="661" spans="3:9" x14ac:dyDescent="0.35">
      <c r="C661">
        <v>12760.063478499709</v>
      </c>
      <c r="D661" s="9">
        <f t="shared" si="40"/>
        <v>300000</v>
      </c>
      <c r="E661" s="9">
        <f t="shared" si="41"/>
        <v>393204.44349497964</v>
      </c>
      <c r="G661">
        <v>6644.2152165288244</v>
      </c>
      <c r="H661" s="9">
        <f t="shared" si="43"/>
        <v>300000</v>
      </c>
      <c r="I661" s="9">
        <f t="shared" si="42"/>
        <v>-34904.934842982271</v>
      </c>
    </row>
    <row r="662" spans="3:9" x14ac:dyDescent="0.35">
      <c r="C662">
        <v>16524.826807458725</v>
      </c>
      <c r="D662" s="9">
        <f t="shared" si="40"/>
        <v>300000</v>
      </c>
      <c r="E662" s="9">
        <f t="shared" si="41"/>
        <v>550000</v>
      </c>
      <c r="G662">
        <v>3553.453169347209</v>
      </c>
      <c r="H662" s="9">
        <f t="shared" si="43"/>
        <v>177672.65846736045</v>
      </c>
      <c r="I662" s="9">
        <f t="shared" si="42"/>
        <v>-251258.27814569537</v>
      </c>
    </row>
    <row r="663" spans="3:9" x14ac:dyDescent="0.35">
      <c r="C663">
        <v>13764.122440260018</v>
      </c>
      <c r="D663" s="9">
        <f t="shared" si="40"/>
        <v>300000</v>
      </c>
      <c r="E663" s="9">
        <f t="shared" si="41"/>
        <v>463488.57081820129</v>
      </c>
      <c r="G663">
        <v>6273.2627338480797</v>
      </c>
      <c r="H663" s="9">
        <f t="shared" si="43"/>
        <v>300000</v>
      </c>
      <c r="I663" s="9">
        <f t="shared" si="42"/>
        <v>-60871.608630634437</v>
      </c>
    </row>
    <row r="664" spans="3:9" x14ac:dyDescent="0.35">
      <c r="C664">
        <v>12429.548020874661</v>
      </c>
      <c r="D664" s="9">
        <f t="shared" si="40"/>
        <v>300000</v>
      </c>
      <c r="E664" s="9">
        <f t="shared" si="41"/>
        <v>370068.36146122625</v>
      </c>
      <c r="G664">
        <v>4204.5655690176091</v>
      </c>
      <c r="H664" s="9">
        <f t="shared" si="43"/>
        <v>210228.27845088046</v>
      </c>
      <c r="I664" s="9">
        <f t="shared" si="42"/>
        <v>-205680.41016876738</v>
      </c>
    </row>
    <row r="665" spans="3:9" x14ac:dyDescent="0.35">
      <c r="C665">
        <v>14830.744346446119</v>
      </c>
      <c r="D665" s="9">
        <f t="shared" si="40"/>
        <v>300000</v>
      </c>
      <c r="E665" s="9">
        <f t="shared" si="41"/>
        <v>538152.10425122839</v>
      </c>
      <c r="G665">
        <v>5339.0911587878054</v>
      </c>
      <c r="H665" s="9">
        <f t="shared" si="43"/>
        <v>266954.55793939024</v>
      </c>
      <c r="I665" s="9">
        <f t="shared" si="42"/>
        <v>-126263.61888485361</v>
      </c>
    </row>
    <row r="666" spans="3:9" x14ac:dyDescent="0.35">
      <c r="C666">
        <v>16290.444654683066</v>
      </c>
      <c r="D666" s="9">
        <f t="shared" si="40"/>
        <v>300000</v>
      </c>
      <c r="E666" s="9">
        <f t="shared" si="41"/>
        <v>550000</v>
      </c>
      <c r="G666">
        <v>5047.3342081972714</v>
      </c>
      <c r="H666" s="9">
        <f t="shared" si="43"/>
        <v>252366.71040986356</v>
      </c>
      <c r="I666" s="9">
        <f t="shared" si="42"/>
        <v>-146686.605426191</v>
      </c>
    </row>
    <row r="667" spans="3:9" x14ac:dyDescent="0.35">
      <c r="C667">
        <v>16857.936338389234</v>
      </c>
      <c r="D667" s="9">
        <f t="shared" si="40"/>
        <v>300000</v>
      </c>
      <c r="E667" s="9">
        <f t="shared" si="41"/>
        <v>550000</v>
      </c>
      <c r="G667">
        <v>5393.4141056550798</v>
      </c>
      <c r="H667" s="9">
        <f t="shared" si="43"/>
        <v>269670.70528275397</v>
      </c>
      <c r="I667" s="9">
        <f t="shared" si="42"/>
        <v>-122461.0126041444</v>
      </c>
    </row>
    <row r="668" spans="3:9" x14ac:dyDescent="0.35">
      <c r="C668">
        <v>15011.108737449264</v>
      </c>
      <c r="D668" s="9">
        <f t="shared" si="40"/>
        <v>300000</v>
      </c>
      <c r="E668" s="9">
        <f t="shared" si="41"/>
        <v>550000</v>
      </c>
      <c r="G668">
        <v>7024.7810296945099</v>
      </c>
      <c r="H668" s="9">
        <f t="shared" si="43"/>
        <v>300000</v>
      </c>
      <c r="I668" s="9">
        <f t="shared" si="42"/>
        <v>-8265.3279213843052</v>
      </c>
    </row>
    <row r="669" spans="3:9" x14ac:dyDescent="0.35">
      <c r="C669">
        <v>14399.365215002899</v>
      </c>
      <c r="D669" s="9">
        <f t="shared" si="40"/>
        <v>300000</v>
      </c>
      <c r="E669" s="9">
        <f t="shared" si="41"/>
        <v>507955.565050203</v>
      </c>
      <c r="G669">
        <v>3377.6665547654652</v>
      </c>
      <c r="H669" s="9">
        <f t="shared" si="43"/>
        <v>168883.32773827325</v>
      </c>
      <c r="I669" s="9">
        <f t="shared" si="42"/>
        <v>-263563.34116641746</v>
      </c>
    </row>
    <row r="670" spans="3:9" x14ac:dyDescent="0.35">
      <c r="C670">
        <v>16944.151127658926</v>
      </c>
      <c r="D670" s="9">
        <f t="shared" si="40"/>
        <v>300000</v>
      </c>
      <c r="E670" s="9">
        <f t="shared" si="41"/>
        <v>550000</v>
      </c>
      <c r="G670">
        <v>5311.471907712028</v>
      </c>
      <c r="H670" s="9">
        <f t="shared" si="43"/>
        <v>265573.59538560139</v>
      </c>
      <c r="I670" s="9">
        <f t="shared" si="42"/>
        <v>-128196.96646015806</v>
      </c>
    </row>
    <row r="671" spans="3:9" x14ac:dyDescent="0.35">
      <c r="C671">
        <v>12921.658986175114</v>
      </c>
      <c r="D671" s="9">
        <f t="shared" si="40"/>
        <v>300000</v>
      </c>
      <c r="E671" s="9">
        <f t="shared" si="41"/>
        <v>404516.12903225806</v>
      </c>
      <c r="G671">
        <v>4830.3476058229317</v>
      </c>
      <c r="H671" s="9">
        <f t="shared" si="43"/>
        <v>241517.38029114658</v>
      </c>
      <c r="I671" s="9">
        <f t="shared" si="42"/>
        <v>-161875.66759239481</v>
      </c>
    </row>
    <row r="672" spans="3:9" x14ac:dyDescent="0.35">
      <c r="C672">
        <v>14433.545945616017</v>
      </c>
      <c r="D672" s="9">
        <f t="shared" si="40"/>
        <v>300000</v>
      </c>
      <c r="E672" s="9">
        <f t="shared" si="41"/>
        <v>510348.21619312116</v>
      </c>
      <c r="G672">
        <v>7918.820764793848</v>
      </c>
      <c r="H672" s="9">
        <f t="shared" si="43"/>
        <v>300000</v>
      </c>
      <c r="I672" s="9">
        <f t="shared" si="42"/>
        <v>54317.453535569366</v>
      </c>
    </row>
    <row r="673" spans="3:9" x14ac:dyDescent="0.35">
      <c r="C673">
        <v>13222.113711966307</v>
      </c>
      <c r="D673" s="9">
        <f t="shared" si="40"/>
        <v>300000</v>
      </c>
      <c r="E673" s="9">
        <f t="shared" si="41"/>
        <v>425547.95983764145</v>
      </c>
      <c r="G673">
        <v>3403.302102725303</v>
      </c>
      <c r="H673" s="9">
        <f t="shared" si="43"/>
        <v>170165.10513626516</v>
      </c>
      <c r="I673" s="9">
        <f t="shared" si="42"/>
        <v>-261768.85280922879</v>
      </c>
    </row>
    <row r="674" spans="3:9" x14ac:dyDescent="0.35">
      <c r="C674">
        <v>14410.962248603779</v>
      </c>
      <c r="D674" s="9">
        <f t="shared" si="40"/>
        <v>300000</v>
      </c>
      <c r="E674" s="9">
        <f t="shared" si="41"/>
        <v>508767.35740226449</v>
      </c>
      <c r="G674">
        <v>6144.9324015015109</v>
      </c>
      <c r="H674" s="9">
        <f t="shared" si="43"/>
        <v>300000</v>
      </c>
      <c r="I674" s="9">
        <f t="shared" si="42"/>
        <v>-69854.731894894212</v>
      </c>
    </row>
    <row r="675" spans="3:9" x14ac:dyDescent="0.35">
      <c r="C675">
        <v>13099.734488967559</v>
      </c>
      <c r="D675" s="9">
        <f t="shared" si="40"/>
        <v>300000</v>
      </c>
      <c r="E675" s="9">
        <f t="shared" si="41"/>
        <v>416981.41422772908</v>
      </c>
      <c r="G675">
        <v>7499.6490371410255</v>
      </c>
      <c r="H675" s="9">
        <f t="shared" si="43"/>
        <v>300000</v>
      </c>
      <c r="I675" s="9">
        <f t="shared" si="42"/>
        <v>24975.432599871769</v>
      </c>
    </row>
    <row r="676" spans="3:9" x14ac:dyDescent="0.35">
      <c r="C676">
        <v>13009.094515823846</v>
      </c>
      <c r="D676" s="9">
        <f t="shared" si="40"/>
        <v>300000</v>
      </c>
      <c r="E676" s="9">
        <f t="shared" si="41"/>
        <v>410636.61610766919</v>
      </c>
      <c r="G676">
        <v>5701.1932737205116</v>
      </c>
      <c r="H676" s="9">
        <f t="shared" si="43"/>
        <v>285059.6636860256</v>
      </c>
      <c r="I676" s="9">
        <f t="shared" si="42"/>
        <v>-100916.47083956416</v>
      </c>
    </row>
    <row r="677" spans="3:9" x14ac:dyDescent="0.35">
      <c r="C677">
        <v>14627.796258430739</v>
      </c>
      <c r="D677" s="9">
        <f t="shared" si="40"/>
        <v>300000</v>
      </c>
      <c r="E677" s="9">
        <f t="shared" si="41"/>
        <v>523945.73809015169</v>
      </c>
      <c r="G677">
        <v>3789.3612475966675</v>
      </c>
      <c r="H677" s="9">
        <f t="shared" si="43"/>
        <v>189468.06237983337</v>
      </c>
      <c r="I677" s="9">
        <f t="shared" si="42"/>
        <v>-234744.71266823326</v>
      </c>
    </row>
    <row r="678" spans="3:9" x14ac:dyDescent="0.35">
      <c r="C678">
        <v>15406.933805352946</v>
      </c>
      <c r="D678" s="9">
        <f t="shared" si="40"/>
        <v>300000</v>
      </c>
      <c r="E678" s="9">
        <f t="shared" si="41"/>
        <v>550000</v>
      </c>
      <c r="G678">
        <v>5476.5770439771723</v>
      </c>
      <c r="H678" s="9">
        <f t="shared" si="43"/>
        <v>273828.85219885863</v>
      </c>
      <c r="I678" s="9">
        <f t="shared" si="42"/>
        <v>-116639.60692159797</v>
      </c>
    </row>
    <row r="679" spans="3:9" x14ac:dyDescent="0.35">
      <c r="C679">
        <v>14638.782921842097</v>
      </c>
      <c r="D679" s="9">
        <f t="shared" si="40"/>
        <v>300000</v>
      </c>
      <c r="E679" s="9">
        <f t="shared" si="41"/>
        <v>524714.80452894687</v>
      </c>
      <c r="G679">
        <v>7966.4296395764031</v>
      </c>
      <c r="H679" s="9">
        <f t="shared" si="43"/>
        <v>300000</v>
      </c>
      <c r="I679" s="9">
        <f t="shared" si="42"/>
        <v>57650.074770348263</v>
      </c>
    </row>
    <row r="680" spans="3:9" x14ac:dyDescent="0.35">
      <c r="C680">
        <v>14313.608203375348</v>
      </c>
      <c r="D680" s="9">
        <f t="shared" si="40"/>
        <v>300000</v>
      </c>
      <c r="E680" s="9">
        <f t="shared" si="41"/>
        <v>501952.57423627435</v>
      </c>
      <c r="G680">
        <v>4120.1818903164767</v>
      </c>
      <c r="H680" s="9">
        <f t="shared" si="43"/>
        <v>206009.09451582385</v>
      </c>
      <c r="I680" s="9">
        <f t="shared" si="42"/>
        <v>-211587.26767784666</v>
      </c>
    </row>
    <row r="681" spans="3:9" x14ac:dyDescent="0.35">
      <c r="C681">
        <v>14445.295571764274</v>
      </c>
      <c r="D681" s="9">
        <f t="shared" si="40"/>
        <v>300000</v>
      </c>
      <c r="E681" s="9">
        <f t="shared" si="41"/>
        <v>511170.69002349919</v>
      </c>
      <c r="G681">
        <v>3459.4561601611376</v>
      </c>
      <c r="H681" s="9">
        <f t="shared" si="43"/>
        <v>172972.80800805689</v>
      </c>
      <c r="I681" s="9">
        <f t="shared" si="42"/>
        <v>-257838.06878872035</v>
      </c>
    </row>
    <row r="682" spans="3:9" x14ac:dyDescent="0.35">
      <c r="C682">
        <v>15279.671620838039</v>
      </c>
      <c r="D682" s="9">
        <f t="shared" si="40"/>
        <v>300000</v>
      </c>
      <c r="E682" s="9">
        <f t="shared" si="41"/>
        <v>550000</v>
      </c>
      <c r="G682">
        <v>3530.5642872402113</v>
      </c>
      <c r="H682" s="9">
        <f t="shared" si="43"/>
        <v>176528.21436201056</v>
      </c>
      <c r="I682" s="9">
        <f t="shared" si="42"/>
        <v>-252860.49989318522</v>
      </c>
    </row>
    <row r="683" spans="3:9" x14ac:dyDescent="0.35">
      <c r="C683">
        <v>15492.538224433119</v>
      </c>
      <c r="D683" s="9">
        <f t="shared" si="40"/>
        <v>300000</v>
      </c>
      <c r="E683" s="9">
        <f t="shared" si="41"/>
        <v>550000</v>
      </c>
      <c r="G683">
        <v>7074.9839777825255</v>
      </c>
      <c r="H683" s="9">
        <f t="shared" si="43"/>
        <v>300000</v>
      </c>
      <c r="I683" s="9">
        <f t="shared" si="42"/>
        <v>-4751.1215552232461</v>
      </c>
    </row>
    <row r="684" spans="3:9" x14ac:dyDescent="0.35">
      <c r="C684">
        <v>14994.781334879604</v>
      </c>
      <c r="D684" s="9">
        <f t="shared" si="40"/>
        <v>300000</v>
      </c>
      <c r="E684" s="9">
        <f t="shared" si="41"/>
        <v>549634.69344157237</v>
      </c>
      <c r="G684">
        <v>3594.347972045045</v>
      </c>
      <c r="H684" s="9">
        <f t="shared" si="43"/>
        <v>179717.39860225224</v>
      </c>
      <c r="I684" s="9">
        <f t="shared" si="42"/>
        <v>-248395.64195684684</v>
      </c>
    </row>
    <row r="685" spans="3:9" x14ac:dyDescent="0.35">
      <c r="C685">
        <v>13699.880977813044</v>
      </c>
      <c r="D685" s="9">
        <f t="shared" si="40"/>
        <v>300000</v>
      </c>
      <c r="E685" s="9">
        <f t="shared" si="41"/>
        <v>458991.66844691301</v>
      </c>
      <c r="G685">
        <v>4802.8809472945341</v>
      </c>
      <c r="H685" s="9">
        <f t="shared" si="43"/>
        <v>240144.04736472669</v>
      </c>
      <c r="I685" s="9">
        <f t="shared" si="42"/>
        <v>-163798.33368938259</v>
      </c>
    </row>
    <row r="686" spans="3:9" x14ac:dyDescent="0.35">
      <c r="C686">
        <v>15545.182653279215</v>
      </c>
      <c r="D686" s="9">
        <f t="shared" si="40"/>
        <v>300000</v>
      </c>
      <c r="E686" s="9">
        <f t="shared" si="41"/>
        <v>550000</v>
      </c>
      <c r="G686">
        <v>4703.6957914975428</v>
      </c>
      <c r="H686" s="9">
        <f t="shared" si="43"/>
        <v>235184.78957487713</v>
      </c>
      <c r="I686" s="9">
        <f t="shared" si="42"/>
        <v>-170741.29459517199</v>
      </c>
    </row>
    <row r="687" spans="3:9" x14ac:dyDescent="0.35">
      <c r="C687">
        <v>14836.08508560442</v>
      </c>
      <c r="D687" s="9">
        <f t="shared" si="40"/>
        <v>300000</v>
      </c>
      <c r="E687" s="9">
        <f t="shared" si="41"/>
        <v>538525.95599230938</v>
      </c>
      <c r="G687">
        <v>4439.5580919827871</v>
      </c>
      <c r="H687" s="9">
        <f t="shared" si="43"/>
        <v>221977.90459913935</v>
      </c>
      <c r="I687" s="9">
        <f t="shared" si="42"/>
        <v>-189230.93356120487</v>
      </c>
    </row>
    <row r="688" spans="3:9" x14ac:dyDescent="0.35">
      <c r="C688">
        <v>13858.272041993469</v>
      </c>
      <c r="D688" s="9">
        <f t="shared" si="40"/>
        <v>300000</v>
      </c>
      <c r="E688" s="9">
        <f t="shared" si="41"/>
        <v>470079.04293954279</v>
      </c>
      <c r="G688">
        <v>4365.2455214087349</v>
      </c>
      <c r="H688" s="9">
        <f t="shared" si="43"/>
        <v>218262.27607043675</v>
      </c>
      <c r="I688" s="9">
        <f t="shared" si="42"/>
        <v>-194432.81350138853</v>
      </c>
    </row>
    <row r="689" spans="3:9" x14ac:dyDescent="0.35">
      <c r="C689">
        <v>14483.443708609271</v>
      </c>
      <c r="D689" s="9">
        <f t="shared" si="40"/>
        <v>300000</v>
      </c>
      <c r="E689" s="9">
        <f t="shared" si="41"/>
        <v>513841.05960264895</v>
      </c>
      <c r="G689">
        <v>7342.4787133396403</v>
      </c>
      <c r="H689" s="9">
        <f t="shared" si="43"/>
        <v>300000</v>
      </c>
      <c r="I689" s="9">
        <f t="shared" si="42"/>
        <v>13973.509933774825</v>
      </c>
    </row>
    <row r="690" spans="3:9" x14ac:dyDescent="0.35">
      <c r="C690">
        <v>16903.866695150609</v>
      </c>
      <c r="D690" s="9">
        <f t="shared" si="40"/>
        <v>300000</v>
      </c>
      <c r="E690" s="9">
        <f t="shared" si="41"/>
        <v>550000</v>
      </c>
      <c r="G690">
        <v>7188.2076479384741</v>
      </c>
      <c r="H690" s="9">
        <f t="shared" si="43"/>
        <v>300000</v>
      </c>
      <c r="I690" s="9">
        <f t="shared" si="42"/>
        <v>3174.535355693195</v>
      </c>
    </row>
    <row r="691" spans="3:9" x14ac:dyDescent="0.35">
      <c r="C691">
        <v>12143.131809442426</v>
      </c>
      <c r="D691" s="9">
        <f t="shared" si="40"/>
        <v>300000</v>
      </c>
      <c r="E691" s="9">
        <f t="shared" si="41"/>
        <v>350019.22666096978</v>
      </c>
      <c r="G691">
        <v>7703.665272988067</v>
      </c>
      <c r="H691" s="9">
        <f t="shared" si="43"/>
        <v>300000</v>
      </c>
      <c r="I691" s="9">
        <f t="shared" si="42"/>
        <v>39256.569109164644</v>
      </c>
    </row>
    <row r="692" spans="3:9" x14ac:dyDescent="0.35">
      <c r="C692">
        <v>15258.919034394359</v>
      </c>
      <c r="D692" s="9">
        <f t="shared" si="40"/>
        <v>300000</v>
      </c>
      <c r="E692" s="9">
        <f t="shared" si="41"/>
        <v>550000</v>
      </c>
      <c r="G692">
        <v>4346.1714529862365</v>
      </c>
      <c r="H692" s="9">
        <f t="shared" si="43"/>
        <v>217308.57264931183</v>
      </c>
      <c r="I692" s="9">
        <f t="shared" si="42"/>
        <v>-195767.99829096347</v>
      </c>
    </row>
    <row r="693" spans="3:9" x14ac:dyDescent="0.35">
      <c r="C693">
        <v>12903.195287942137</v>
      </c>
      <c r="D693" s="9">
        <f t="shared" si="40"/>
        <v>300000</v>
      </c>
      <c r="E693" s="9">
        <f t="shared" si="41"/>
        <v>403223.67015594954</v>
      </c>
      <c r="G693">
        <v>7309.8239082003238</v>
      </c>
      <c r="H693" s="9">
        <f t="shared" si="43"/>
        <v>300000</v>
      </c>
      <c r="I693" s="9">
        <f t="shared" si="42"/>
        <v>11687.673574022658</v>
      </c>
    </row>
    <row r="694" spans="3:9" x14ac:dyDescent="0.35">
      <c r="C694">
        <v>16015.62547685171</v>
      </c>
      <c r="D694" s="9">
        <f t="shared" si="40"/>
        <v>300000</v>
      </c>
      <c r="E694" s="9">
        <f t="shared" si="41"/>
        <v>550000</v>
      </c>
      <c r="G694">
        <v>4868.6483352153082</v>
      </c>
      <c r="H694" s="9">
        <f t="shared" si="43"/>
        <v>243432.41676076542</v>
      </c>
      <c r="I694" s="9">
        <f t="shared" si="42"/>
        <v>-159194.61653492844</v>
      </c>
    </row>
    <row r="695" spans="3:9" x14ac:dyDescent="0.35">
      <c r="C695">
        <v>14984.710226752526</v>
      </c>
      <c r="D695" s="9">
        <f t="shared" si="40"/>
        <v>300000</v>
      </c>
      <c r="E695" s="9">
        <f t="shared" si="41"/>
        <v>548929.71587267681</v>
      </c>
      <c r="G695">
        <v>4969.9697866756187</v>
      </c>
      <c r="H695" s="9">
        <f t="shared" si="43"/>
        <v>248498.48933378095</v>
      </c>
      <c r="I695" s="9">
        <f t="shared" si="42"/>
        <v>-152102.1149327067</v>
      </c>
    </row>
    <row r="696" spans="3:9" x14ac:dyDescent="0.35">
      <c r="C696">
        <v>16330.576494644001</v>
      </c>
      <c r="D696" s="9">
        <f t="shared" si="40"/>
        <v>300000</v>
      </c>
      <c r="E696" s="9">
        <f t="shared" si="41"/>
        <v>550000</v>
      </c>
      <c r="G696">
        <v>7452.0401623584703</v>
      </c>
      <c r="H696" s="9">
        <f t="shared" si="43"/>
        <v>300000</v>
      </c>
      <c r="I696" s="9">
        <f t="shared" si="42"/>
        <v>21642.81136509293</v>
      </c>
    </row>
    <row r="697" spans="3:9" x14ac:dyDescent="0.35">
      <c r="C697">
        <v>15519.241920224616</v>
      </c>
      <c r="D697" s="9">
        <f t="shared" si="40"/>
        <v>300000</v>
      </c>
      <c r="E697" s="9">
        <f t="shared" si="41"/>
        <v>550000</v>
      </c>
      <c r="G697">
        <v>5786.3399151585436</v>
      </c>
      <c r="H697" s="9">
        <f t="shared" si="43"/>
        <v>289316.99575792719</v>
      </c>
      <c r="I697" s="9">
        <f t="shared" si="42"/>
        <v>-94956.205938901927</v>
      </c>
    </row>
    <row r="698" spans="3:9" x14ac:dyDescent="0.35">
      <c r="C698">
        <v>16817.194128238778</v>
      </c>
      <c r="D698" s="9">
        <f t="shared" si="40"/>
        <v>300000</v>
      </c>
      <c r="E698" s="9">
        <f t="shared" si="41"/>
        <v>550000</v>
      </c>
      <c r="G698">
        <v>3527.3598437452315</v>
      </c>
      <c r="H698" s="9">
        <f t="shared" si="43"/>
        <v>176367.99218726158</v>
      </c>
      <c r="I698" s="9">
        <f t="shared" si="42"/>
        <v>-253084.8109378338</v>
      </c>
    </row>
    <row r="699" spans="3:9" x14ac:dyDescent="0.35">
      <c r="C699">
        <v>13203.65001373333</v>
      </c>
      <c r="D699" s="9">
        <f t="shared" si="40"/>
        <v>300000</v>
      </c>
      <c r="E699" s="9">
        <f t="shared" si="41"/>
        <v>424255.50096133305</v>
      </c>
      <c r="G699">
        <v>4315.6529435102393</v>
      </c>
      <c r="H699" s="9">
        <f t="shared" si="43"/>
        <v>215782.64717551196</v>
      </c>
      <c r="I699" s="9">
        <f t="shared" si="42"/>
        <v>-197904.29395428323</v>
      </c>
    </row>
    <row r="700" spans="3:9" x14ac:dyDescent="0.35">
      <c r="C700">
        <v>15084.963530381176</v>
      </c>
      <c r="D700" s="9">
        <f t="shared" si="40"/>
        <v>300000</v>
      </c>
      <c r="E700" s="9">
        <f t="shared" si="41"/>
        <v>550000</v>
      </c>
      <c r="G700">
        <v>5685.7814264351327</v>
      </c>
      <c r="H700" s="9">
        <f t="shared" si="43"/>
        <v>284289.07132175664</v>
      </c>
      <c r="I700" s="9">
        <f t="shared" si="42"/>
        <v>-101995.30014954071</v>
      </c>
    </row>
    <row r="701" spans="3:9" x14ac:dyDescent="0.35">
      <c r="C701">
        <v>13171.910763878292</v>
      </c>
      <c r="D701" s="9">
        <f t="shared" si="40"/>
        <v>300000</v>
      </c>
      <c r="E701" s="9">
        <f t="shared" si="41"/>
        <v>422033.75347148045</v>
      </c>
      <c r="G701">
        <v>5564.0125736259033</v>
      </c>
      <c r="H701" s="9">
        <f t="shared" si="43"/>
        <v>278200.62868129514</v>
      </c>
      <c r="I701" s="9">
        <f t="shared" si="42"/>
        <v>-110519.11984618678</v>
      </c>
    </row>
    <row r="702" spans="3:9" x14ac:dyDescent="0.35">
      <c r="C702">
        <v>14660.298471022676</v>
      </c>
      <c r="D702" s="9">
        <f t="shared" si="40"/>
        <v>300000</v>
      </c>
      <c r="E702" s="9">
        <f t="shared" si="41"/>
        <v>526220.89297158725</v>
      </c>
      <c r="G702">
        <v>5885.3724784081551</v>
      </c>
      <c r="H702" s="9">
        <f t="shared" si="43"/>
        <v>294268.62392040773</v>
      </c>
      <c r="I702" s="9">
        <f t="shared" si="42"/>
        <v>-88023.926511429134</v>
      </c>
    </row>
    <row r="703" spans="3:9" x14ac:dyDescent="0.35">
      <c r="C703">
        <v>14624.744407483138</v>
      </c>
      <c r="D703" s="9">
        <f t="shared" si="40"/>
        <v>300000</v>
      </c>
      <c r="E703" s="9">
        <f t="shared" si="41"/>
        <v>523732.10852381971</v>
      </c>
      <c r="G703">
        <v>6788.8729514450515</v>
      </c>
      <c r="H703" s="9">
        <f t="shared" si="43"/>
        <v>300000</v>
      </c>
      <c r="I703" s="9">
        <f t="shared" si="42"/>
        <v>-24778.893398846383</v>
      </c>
    </row>
    <row r="704" spans="3:9" x14ac:dyDescent="0.35">
      <c r="C704">
        <v>13910.458693197425</v>
      </c>
      <c r="D704" s="9">
        <f t="shared" si="40"/>
        <v>300000</v>
      </c>
      <c r="E704" s="9">
        <f t="shared" si="41"/>
        <v>473732.10852381971</v>
      </c>
      <c r="G704">
        <v>5768.3339945677053</v>
      </c>
      <c r="H704" s="9">
        <f t="shared" si="43"/>
        <v>288416.69972838525</v>
      </c>
      <c r="I704" s="9">
        <f t="shared" si="42"/>
        <v>-96216.620380260632</v>
      </c>
    </row>
    <row r="705" spans="3:9" x14ac:dyDescent="0.35">
      <c r="C705">
        <v>13610.309152500991</v>
      </c>
      <c r="D705" s="9">
        <f t="shared" si="40"/>
        <v>300000</v>
      </c>
      <c r="E705" s="9">
        <f t="shared" si="41"/>
        <v>452721.64067506942</v>
      </c>
      <c r="G705">
        <v>4382.6410718100524</v>
      </c>
      <c r="H705" s="9">
        <f t="shared" si="43"/>
        <v>219132.05359050262</v>
      </c>
      <c r="I705" s="9">
        <f t="shared" si="42"/>
        <v>-193215.1249732963</v>
      </c>
    </row>
    <row r="706" spans="3:9" x14ac:dyDescent="0.35">
      <c r="C706">
        <v>14053.89568773461</v>
      </c>
      <c r="D706" s="9">
        <f t="shared" si="40"/>
        <v>300000</v>
      </c>
      <c r="E706" s="9">
        <f t="shared" si="41"/>
        <v>483772.6981414227</v>
      </c>
      <c r="G706">
        <v>7513.9927365947442</v>
      </c>
      <c r="H706" s="9">
        <f t="shared" si="43"/>
        <v>300000</v>
      </c>
      <c r="I706" s="9">
        <f t="shared" si="42"/>
        <v>25979.491561632138</v>
      </c>
    </row>
    <row r="707" spans="3:9" x14ac:dyDescent="0.35">
      <c r="C707">
        <v>14951.597643971068</v>
      </c>
      <c r="D707" s="9">
        <f t="shared" si="40"/>
        <v>300000</v>
      </c>
      <c r="E707" s="9">
        <f t="shared" si="41"/>
        <v>546611.83507797483</v>
      </c>
      <c r="G707">
        <v>6800.6225775933108</v>
      </c>
      <c r="H707" s="9">
        <f t="shared" si="43"/>
        <v>300000</v>
      </c>
      <c r="I707" s="9">
        <f t="shared" si="42"/>
        <v>-23956.419568468235</v>
      </c>
    </row>
    <row r="708" spans="3:9" x14ac:dyDescent="0.35">
      <c r="C708">
        <v>15503.524887844478</v>
      </c>
      <c r="D708" s="9">
        <f t="shared" si="40"/>
        <v>300000</v>
      </c>
      <c r="E708" s="9">
        <f t="shared" si="41"/>
        <v>550000</v>
      </c>
      <c r="G708">
        <v>3589.6176030762658</v>
      </c>
      <c r="H708" s="9">
        <f t="shared" si="43"/>
        <v>179480.88015381328</v>
      </c>
      <c r="I708" s="9">
        <f t="shared" si="42"/>
        <v>-248726.76778466138</v>
      </c>
    </row>
    <row r="709" spans="3:9" x14ac:dyDescent="0.35">
      <c r="C709">
        <v>16824.976348155156</v>
      </c>
      <c r="D709" s="9">
        <f t="shared" si="40"/>
        <v>300000</v>
      </c>
      <c r="E709" s="9">
        <f t="shared" si="41"/>
        <v>550000</v>
      </c>
      <c r="G709">
        <v>4701.7120883816033</v>
      </c>
      <c r="H709" s="9">
        <f t="shared" si="43"/>
        <v>235085.60441908016</v>
      </c>
      <c r="I709" s="9">
        <f t="shared" si="42"/>
        <v>-170880.15381328779</v>
      </c>
    </row>
    <row r="710" spans="3:9" x14ac:dyDescent="0.35">
      <c r="C710">
        <v>13291.543321024201</v>
      </c>
      <c r="D710" s="9">
        <f t="shared" si="40"/>
        <v>300000</v>
      </c>
      <c r="E710" s="9">
        <f t="shared" si="41"/>
        <v>430408.03247169405</v>
      </c>
      <c r="G710">
        <v>3146.3362529374067</v>
      </c>
      <c r="H710" s="9">
        <f t="shared" si="43"/>
        <v>157316.81264687033</v>
      </c>
      <c r="I710" s="9">
        <f t="shared" si="42"/>
        <v>-279756.46229438152</v>
      </c>
    </row>
    <row r="711" spans="3:9" x14ac:dyDescent="0.35">
      <c r="C711">
        <v>12010.528885769219</v>
      </c>
      <c r="D711" s="9">
        <f t="shared" si="40"/>
        <v>300000</v>
      </c>
      <c r="E711" s="9">
        <f t="shared" si="41"/>
        <v>340737.02200384531</v>
      </c>
      <c r="G711">
        <v>6315.2256843775758</v>
      </c>
      <c r="H711" s="9">
        <f t="shared" si="43"/>
        <v>300000</v>
      </c>
      <c r="I711" s="9">
        <f t="shared" si="42"/>
        <v>-57934.202093569678</v>
      </c>
    </row>
    <row r="712" spans="3:9" x14ac:dyDescent="0.35">
      <c r="C712">
        <v>15761.253700369274</v>
      </c>
      <c r="D712" s="9">
        <f t="shared" si="40"/>
        <v>300000</v>
      </c>
      <c r="E712" s="9">
        <f t="shared" si="41"/>
        <v>550000</v>
      </c>
      <c r="G712">
        <v>7263.8935514389477</v>
      </c>
      <c r="H712" s="9">
        <f t="shared" si="43"/>
        <v>300000</v>
      </c>
      <c r="I712" s="9">
        <f t="shared" si="42"/>
        <v>8472.5486007263535</v>
      </c>
    </row>
    <row r="713" spans="3:9" x14ac:dyDescent="0.35">
      <c r="C713">
        <v>14490.615558336131</v>
      </c>
      <c r="D713" s="9">
        <f t="shared" si="40"/>
        <v>300000</v>
      </c>
      <c r="E713" s="9">
        <f t="shared" si="41"/>
        <v>514343.08908352919</v>
      </c>
      <c r="G713">
        <v>7660.6341746269118</v>
      </c>
      <c r="H713" s="9">
        <f t="shared" si="43"/>
        <v>300000</v>
      </c>
      <c r="I713" s="9">
        <f t="shared" si="42"/>
        <v>36244.392223883769</v>
      </c>
    </row>
    <row r="714" spans="3:9" x14ac:dyDescent="0.35">
      <c r="C714">
        <v>16744.712668233282</v>
      </c>
      <c r="D714" s="9">
        <f t="shared" si="40"/>
        <v>300000</v>
      </c>
      <c r="E714" s="9">
        <f t="shared" si="41"/>
        <v>550000</v>
      </c>
      <c r="G714">
        <v>5421.9489120151375</v>
      </c>
      <c r="H714" s="9">
        <f t="shared" si="43"/>
        <v>271097.44560075685</v>
      </c>
      <c r="I714" s="9">
        <f t="shared" si="42"/>
        <v>-120463.57615894038</v>
      </c>
    </row>
    <row r="715" spans="3:9" x14ac:dyDescent="0.35">
      <c r="C715">
        <v>16997.405926694541</v>
      </c>
      <c r="D715" s="9">
        <f t="shared" si="40"/>
        <v>300000</v>
      </c>
      <c r="E715" s="9">
        <f t="shared" si="41"/>
        <v>550000</v>
      </c>
      <c r="G715">
        <v>6744.926297799615</v>
      </c>
      <c r="H715" s="9">
        <f t="shared" si="43"/>
        <v>300000</v>
      </c>
      <c r="I715" s="9">
        <f t="shared" si="42"/>
        <v>-27855.159154026944</v>
      </c>
    </row>
    <row r="716" spans="3:9" x14ac:dyDescent="0.35">
      <c r="C716">
        <v>15670.613727225562</v>
      </c>
      <c r="D716" s="9">
        <f t="shared" ref="D716:D779" si="44">50*MIN(C716,6000)</f>
        <v>300000</v>
      </c>
      <c r="E716" s="9">
        <f t="shared" ref="E716:E779" si="45">70*MIN(C716,15000)-500000</f>
        <v>550000</v>
      </c>
      <c r="G716">
        <v>7067.8121280556661</v>
      </c>
      <c r="H716" s="9">
        <f t="shared" si="43"/>
        <v>300000</v>
      </c>
      <c r="I716" s="9">
        <f t="shared" ref="I716:I779" si="46">70*MIN(G716,15000)-500000</f>
        <v>-5253.1510361033725</v>
      </c>
    </row>
    <row r="717" spans="3:9" x14ac:dyDescent="0.35">
      <c r="C717">
        <v>12429.39542832728</v>
      </c>
      <c r="D717" s="9">
        <f t="shared" si="44"/>
        <v>300000</v>
      </c>
      <c r="E717" s="9">
        <f t="shared" si="45"/>
        <v>370057.67998290958</v>
      </c>
      <c r="G717">
        <v>6385.2656636249885</v>
      </c>
      <c r="H717" s="9">
        <f t="shared" ref="H717:H780" si="47">50*MIN(G717,6000)</f>
        <v>300000</v>
      </c>
      <c r="I717" s="9">
        <f t="shared" si="46"/>
        <v>-53031.403546250775</v>
      </c>
    </row>
    <row r="718" spans="3:9" x14ac:dyDescent="0.35">
      <c r="C718">
        <v>13102.328562273018</v>
      </c>
      <c r="D718" s="9">
        <f t="shared" si="44"/>
        <v>300000</v>
      </c>
      <c r="E718" s="9">
        <f t="shared" si="45"/>
        <v>417162.9993591113</v>
      </c>
      <c r="G718">
        <v>5590.4110843226417</v>
      </c>
      <c r="H718" s="9">
        <f t="shared" si="47"/>
        <v>279520.55421613209</v>
      </c>
      <c r="I718" s="9">
        <f t="shared" si="46"/>
        <v>-108671.22409741511</v>
      </c>
    </row>
    <row r="719" spans="3:9" x14ac:dyDescent="0.35">
      <c r="C719">
        <v>12879.848628192998</v>
      </c>
      <c r="D719" s="9">
        <f t="shared" si="44"/>
        <v>300000</v>
      </c>
      <c r="E719" s="9">
        <f t="shared" si="45"/>
        <v>401589.40397350991</v>
      </c>
      <c r="G719">
        <v>4956.6942350535601</v>
      </c>
      <c r="H719" s="9">
        <f t="shared" si="47"/>
        <v>247834.71175267801</v>
      </c>
      <c r="I719" s="9">
        <f t="shared" si="46"/>
        <v>-153031.40354625077</v>
      </c>
    </row>
    <row r="720" spans="3:9" x14ac:dyDescent="0.35">
      <c r="C720">
        <v>16720.297860652485</v>
      </c>
      <c r="D720" s="9">
        <f t="shared" si="44"/>
        <v>300000</v>
      </c>
      <c r="E720" s="9">
        <f t="shared" si="45"/>
        <v>550000</v>
      </c>
      <c r="G720">
        <v>3047.9140598773156</v>
      </c>
      <c r="H720" s="9">
        <f t="shared" si="47"/>
        <v>152395.70299386577</v>
      </c>
      <c r="I720" s="9">
        <f t="shared" si="46"/>
        <v>-286646.01580858789</v>
      </c>
    </row>
    <row r="721" spans="3:9" x14ac:dyDescent="0.35">
      <c r="C721">
        <v>12495.162816248054</v>
      </c>
      <c r="D721" s="9">
        <f t="shared" si="44"/>
        <v>300000</v>
      </c>
      <c r="E721" s="9">
        <f t="shared" si="45"/>
        <v>374661.39713736379</v>
      </c>
      <c r="G721">
        <v>6295.6938383129364</v>
      </c>
      <c r="H721" s="9">
        <f t="shared" si="47"/>
        <v>300000</v>
      </c>
      <c r="I721" s="9">
        <f t="shared" si="46"/>
        <v>-59301.43131809443</v>
      </c>
    </row>
    <row r="722" spans="3:9" x14ac:dyDescent="0.35">
      <c r="C722">
        <v>15340.861232337413</v>
      </c>
      <c r="D722" s="9">
        <f t="shared" si="44"/>
        <v>300000</v>
      </c>
      <c r="E722" s="9">
        <f t="shared" si="45"/>
        <v>550000</v>
      </c>
      <c r="G722">
        <v>3214.0873439741204</v>
      </c>
      <c r="H722" s="9">
        <f t="shared" si="47"/>
        <v>160704.36719870602</v>
      </c>
      <c r="I722" s="9">
        <f t="shared" si="46"/>
        <v>-275013.88592181157</v>
      </c>
    </row>
    <row r="723" spans="3:9" x14ac:dyDescent="0.35">
      <c r="C723">
        <v>12617.236854152043</v>
      </c>
      <c r="D723" s="9">
        <f t="shared" si="44"/>
        <v>300000</v>
      </c>
      <c r="E723" s="9">
        <f t="shared" si="45"/>
        <v>383206.57979064295</v>
      </c>
      <c r="G723">
        <v>7295.9379863887452</v>
      </c>
      <c r="H723" s="9">
        <f t="shared" si="47"/>
        <v>300000</v>
      </c>
      <c r="I723" s="9">
        <f t="shared" si="46"/>
        <v>10715.659047212161</v>
      </c>
    </row>
    <row r="724" spans="3:9" x14ac:dyDescent="0.35">
      <c r="C724">
        <v>16871.51707510605</v>
      </c>
      <c r="D724" s="9">
        <f t="shared" si="44"/>
        <v>300000</v>
      </c>
      <c r="E724" s="9">
        <f t="shared" si="45"/>
        <v>550000</v>
      </c>
      <c r="G724">
        <v>3572.5272377697074</v>
      </c>
      <c r="H724" s="9">
        <f t="shared" si="47"/>
        <v>178626.36188848538</v>
      </c>
      <c r="I724" s="9">
        <f t="shared" si="46"/>
        <v>-249923.09335612049</v>
      </c>
    </row>
    <row r="725" spans="3:9" x14ac:dyDescent="0.35">
      <c r="C725">
        <v>12789.208655049288</v>
      </c>
      <c r="D725" s="9">
        <f t="shared" si="44"/>
        <v>300000</v>
      </c>
      <c r="E725" s="9">
        <f t="shared" si="45"/>
        <v>395244.60585345014</v>
      </c>
      <c r="G725">
        <v>7573.0460524307991</v>
      </c>
      <c r="H725" s="9">
        <f t="shared" si="47"/>
        <v>300000</v>
      </c>
      <c r="I725" s="9">
        <f t="shared" si="46"/>
        <v>30113.223670155974</v>
      </c>
    </row>
    <row r="726" spans="3:9" x14ac:dyDescent="0.35">
      <c r="C726">
        <v>15701.43742179632</v>
      </c>
      <c r="D726" s="9">
        <f t="shared" si="44"/>
        <v>300000</v>
      </c>
      <c r="E726" s="9">
        <f t="shared" si="45"/>
        <v>550000</v>
      </c>
      <c r="G726">
        <v>4392.7121799371325</v>
      </c>
      <c r="H726" s="9">
        <f t="shared" si="47"/>
        <v>219635.60899685664</v>
      </c>
      <c r="I726" s="9">
        <f t="shared" si="46"/>
        <v>-192510.14740440075</v>
      </c>
    </row>
    <row r="727" spans="3:9" x14ac:dyDescent="0.35">
      <c r="C727">
        <v>12348.521378215888</v>
      </c>
      <c r="D727" s="9">
        <f t="shared" si="44"/>
        <v>300000</v>
      </c>
      <c r="E727" s="9">
        <f t="shared" si="45"/>
        <v>364396.49647511216</v>
      </c>
      <c r="G727">
        <v>3034.7911008026367</v>
      </c>
      <c r="H727" s="9">
        <f t="shared" si="47"/>
        <v>151739.55504013185</v>
      </c>
      <c r="I727" s="9">
        <f t="shared" si="46"/>
        <v>-287564.62294381543</v>
      </c>
    </row>
    <row r="728" spans="3:9" x14ac:dyDescent="0.35">
      <c r="C728">
        <v>16615.466780602437</v>
      </c>
      <c r="D728" s="9">
        <f t="shared" si="44"/>
        <v>300000</v>
      </c>
      <c r="E728" s="9">
        <f t="shared" si="45"/>
        <v>550000</v>
      </c>
      <c r="G728">
        <v>5612.9947813348799</v>
      </c>
      <c r="H728" s="9">
        <f t="shared" si="47"/>
        <v>280649.73906674399</v>
      </c>
      <c r="I728" s="9">
        <f t="shared" si="46"/>
        <v>-107090.36530655838</v>
      </c>
    </row>
    <row r="729" spans="3:9" x14ac:dyDescent="0.35">
      <c r="C729">
        <v>12612.048707541124</v>
      </c>
      <c r="D729" s="9">
        <f t="shared" si="44"/>
        <v>300000</v>
      </c>
      <c r="E729" s="9">
        <f t="shared" si="45"/>
        <v>382843.40952787863</v>
      </c>
      <c r="G729">
        <v>7440.4431287575917</v>
      </c>
      <c r="H729" s="9">
        <f t="shared" si="47"/>
        <v>300000</v>
      </c>
      <c r="I729" s="9">
        <f t="shared" si="46"/>
        <v>20831.019013031444</v>
      </c>
    </row>
    <row r="730" spans="3:9" x14ac:dyDescent="0.35">
      <c r="C730">
        <v>16460.73793755913</v>
      </c>
      <c r="D730" s="9">
        <f t="shared" si="44"/>
        <v>300000</v>
      </c>
      <c r="E730" s="9">
        <f t="shared" si="45"/>
        <v>550000</v>
      </c>
      <c r="G730">
        <v>5545.396282845546</v>
      </c>
      <c r="H730" s="9">
        <f t="shared" si="47"/>
        <v>277269.81414227729</v>
      </c>
      <c r="I730" s="9">
        <f t="shared" si="46"/>
        <v>-111822.26020081178</v>
      </c>
    </row>
    <row r="731" spans="3:9" x14ac:dyDescent="0.35">
      <c r="C731">
        <v>12209.204382457961</v>
      </c>
      <c r="D731" s="9">
        <f t="shared" si="44"/>
        <v>300000</v>
      </c>
      <c r="E731" s="9">
        <f t="shared" si="45"/>
        <v>354644.30677205732</v>
      </c>
      <c r="G731">
        <v>6149.96795556505</v>
      </c>
      <c r="H731" s="9">
        <f t="shared" si="47"/>
        <v>300000</v>
      </c>
      <c r="I731" s="9">
        <f t="shared" si="46"/>
        <v>-69502.243110446492</v>
      </c>
    </row>
    <row r="732" spans="3:9" x14ac:dyDescent="0.35">
      <c r="C732">
        <v>12150.151066621906</v>
      </c>
      <c r="D732" s="9">
        <f t="shared" si="44"/>
        <v>300000</v>
      </c>
      <c r="E732" s="9">
        <f t="shared" si="45"/>
        <v>350510.57466353336</v>
      </c>
      <c r="G732">
        <v>5034.9742118594932</v>
      </c>
      <c r="H732" s="9">
        <f t="shared" si="47"/>
        <v>251748.71059297465</v>
      </c>
      <c r="I732" s="9">
        <f t="shared" si="46"/>
        <v>-147551.80516983545</v>
      </c>
    </row>
    <row r="733" spans="3:9" x14ac:dyDescent="0.35">
      <c r="C733">
        <v>16057.893612475968</v>
      </c>
      <c r="D733" s="9">
        <f t="shared" si="44"/>
        <v>300000</v>
      </c>
      <c r="E733" s="9">
        <f t="shared" si="45"/>
        <v>550000</v>
      </c>
      <c r="G733">
        <v>7414.3498031556137</v>
      </c>
      <c r="H733" s="9">
        <f t="shared" si="47"/>
        <v>300000</v>
      </c>
      <c r="I733" s="9">
        <f t="shared" si="46"/>
        <v>19004.486220892984</v>
      </c>
    </row>
    <row r="734" spans="3:9" x14ac:dyDescent="0.35">
      <c r="C734">
        <v>14772.606585894344</v>
      </c>
      <c r="D734" s="9">
        <f t="shared" si="44"/>
        <v>300000</v>
      </c>
      <c r="E734" s="9">
        <f t="shared" si="45"/>
        <v>534082.46101260406</v>
      </c>
      <c r="G734">
        <v>7281.899472029786</v>
      </c>
      <c r="H734" s="9">
        <f t="shared" si="47"/>
        <v>300000</v>
      </c>
      <c r="I734" s="9">
        <f t="shared" si="46"/>
        <v>9732.9630420850008</v>
      </c>
    </row>
    <row r="735" spans="3:9" x14ac:dyDescent="0.35">
      <c r="C735">
        <v>14930.08209479049</v>
      </c>
      <c r="D735" s="9">
        <f t="shared" si="44"/>
        <v>300000</v>
      </c>
      <c r="E735" s="9">
        <f t="shared" si="45"/>
        <v>545105.74663533433</v>
      </c>
      <c r="G735">
        <v>6836.4818262276067</v>
      </c>
      <c r="H735" s="9">
        <f t="shared" si="47"/>
        <v>300000</v>
      </c>
      <c r="I735" s="9">
        <f t="shared" si="46"/>
        <v>-21446.272164067545</v>
      </c>
    </row>
    <row r="736" spans="3:9" x14ac:dyDescent="0.35">
      <c r="C736">
        <v>15207.800531022065</v>
      </c>
      <c r="D736" s="9">
        <f t="shared" si="44"/>
        <v>300000</v>
      </c>
      <c r="E736" s="9">
        <f t="shared" si="45"/>
        <v>550000</v>
      </c>
      <c r="G736">
        <v>7680.9289834284491</v>
      </c>
      <c r="H736" s="9">
        <f t="shared" si="47"/>
        <v>300000</v>
      </c>
      <c r="I736" s="9">
        <f t="shared" si="46"/>
        <v>37665.028839991428</v>
      </c>
    </row>
    <row r="737" spans="3:9" x14ac:dyDescent="0.35">
      <c r="C737">
        <v>15657.338175603503</v>
      </c>
      <c r="D737" s="9">
        <f t="shared" si="44"/>
        <v>300000</v>
      </c>
      <c r="E737" s="9">
        <f t="shared" si="45"/>
        <v>550000</v>
      </c>
      <c r="G737">
        <v>3182.6532792138432</v>
      </c>
      <c r="H737" s="9">
        <f t="shared" si="47"/>
        <v>159132.66396069215</v>
      </c>
      <c r="I737" s="9">
        <f t="shared" si="46"/>
        <v>-277214.27045503096</v>
      </c>
    </row>
    <row r="738" spans="3:9" x14ac:dyDescent="0.35">
      <c r="C738">
        <v>12363.170262764366</v>
      </c>
      <c r="D738" s="9">
        <f t="shared" si="44"/>
        <v>300000</v>
      </c>
      <c r="E738" s="9">
        <f t="shared" si="45"/>
        <v>365421.91839350562</v>
      </c>
      <c r="G738">
        <v>5390.9726248970001</v>
      </c>
      <c r="H738" s="9">
        <f t="shared" si="47"/>
        <v>269548.63124485</v>
      </c>
      <c r="I738" s="9">
        <f t="shared" si="46"/>
        <v>-122631.91625721002</v>
      </c>
    </row>
    <row r="739" spans="3:9" x14ac:dyDescent="0.35">
      <c r="C739">
        <v>14875.911740470596</v>
      </c>
      <c r="D739" s="9">
        <f t="shared" si="44"/>
        <v>300000</v>
      </c>
      <c r="E739" s="9">
        <f t="shared" si="45"/>
        <v>541313.82183294173</v>
      </c>
      <c r="G739">
        <v>6665.2729880672632</v>
      </c>
      <c r="H739" s="9">
        <f t="shared" si="47"/>
        <v>300000</v>
      </c>
      <c r="I739" s="9">
        <f t="shared" si="46"/>
        <v>-33430.89083529159</v>
      </c>
    </row>
    <row r="740" spans="3:9" x14ac:dyDescent="0.35">
      <c r="C740">
        <v>16563.127536851101</v>
      </c>
      <c r="D740" s="9">
        <f t="shared" si="44"/>
        <v>300000</v>
      </c>
      <c r="E740" s="9">
        <f t="shared" si="45"/>
        <v>550000</v>
      </c>
      <c r="G740">
        <v>4523.9417706839195</v>
      </c>
      <c r="H740" s="9">
        <f t="shared" si="47"/>
        <v>226197.08853419597</v>
      </c>
      <c r="I740" s="9">
        <f t="shared" si="46"/>
        <v>-183324.07605212566</v>
      </c>
    </row>
    <row r="741" spans="3:9" x14ac:dyDescent="0.35">
      <c r="C741">
        <v>14976.470229194007</v>
      </c>
      <c r="D741" s="9">
        <f t="shared" si="44"/>
        <v>300000</v>
      </c>
      <c r="E741" s="9">
        <f t="shared" si="45"/>
        <v>548352.91604358051</v>
      </c>
      <c r="G741">
        <v>7268.0135502182075</v>
      </c>
      <c r="H741" s="9">
        <f t="shared" si="47"/>
        <v>300000</v>
      </c>
      <c r="I741" s="9">
        <f t="shared" si="46"/>
        <v>8760.9485152745037</v>
      </c>
    </row>
    <row r="742" spans="3:9" x14ac:dyDescent="0.35">
      <c r="C742">
        <v>13361.583300271615</v>
      </c>
      <c r="D742" s="9">
        <f t="shared" si="44"/>
        <v>300000</v>
      </c>
      <c r="E742" s="9">
        <f t="shared" si="45"/>
        <v>435310.83101901307</v>
      </c>
      <c r="G742">
        <v>3481.1243018890955</v>
      </c>
      <c r="H742" s="9">
        <f t="shared" si="47"/>
        <v>174056.21509445476</v>
      </c>
      <c r="I742" s="9">
        <f t="shared" si="46"/>
        <v>-256321.29886776331</v>
      </c>
    </row>
    <row r="743" spans="3:9" x14ac:dyDescent="0.35">
      <c r="C743">
        <v>12679.799798577838</v>
      </c>
      <c r="D743" s="9">
        <f t="shared" si="44"/>
        <v>300000</v>
      </c>
      <c r="E743" s="9">
        <f t="shared" si="45"/>
        <v>387585.98590044864</v>
      </c>
      <c r="G743">
        <v>3788.5982848597678</v>
      </c>
      <c r="H743" s="9">
        <f t="shared" si="47"/>
        <v>189429.91424298839</v>
      </c>
      <c r="I743" s="9">
        <f t="shared" si="46"/>
        <v>-234798.12005981628</v>
      </c>
    </row>
    <row r="744" spans="3:9" x14ac:dyDescent="0.35">
      <c r="C744">
        <v>12756.09607226783</v>
      </c>
      <c r="D744" s="9">
        <f t="shared" si="44"/>
        <v>300000</v>
      </c>
      <c r="E744" s="9">
        <f t="shared" si="45"/>
        <v>392926.72505874815</v>
      </c>
      <c r="G744">
        <v>6676.5648365733814</v>
      </c>
      <c r="H744" s="9">
        <f t="shared" si="47"/>
        <v>300000</v>
      </c>
      <c r="I744" s="9">
        <f t="shared" si="46"/>
        <v>-32640.461439863313</v>
      </c>
    </row>
    <row r="745" spans="3:9" x14ac:dyDescent="0.35">
      <c r="C745">
        <v>16575.792718283639</v>
      </c>
      <c r="D745" s="9">
        <f t="shared" si="44"/>
        <v>300000</v>
      </c>
      <c r="E745" s="9">
        <f t="shared" si="45"/>
        <v>550000</v>
      </c>
      <c r="G745">
        <v>7126.8654438917201</v>
      </c>
      <c r="H745" s="9">
        <f t="shared" si="47"/>
        <v>300000</v>
      </c>
      <c r="I745" s="9">
        <f t="shared" si="46"/>
        <v>-1119.4189275795943</v>
      </c>
    </row>
    <row r="746" spans="3:9" x14ac:dyDescent="0.35">
      <c r="C746">
        <v>16045.381023590808</v>
      </c>
      <c r="D746" s="9">
        <f t="shared" si="44"/>
        <v>300000</v>
      </c>
      <c r="E746" s="9">
        <f t="shared" si="45"/>
        <v>550000</v>
      </c>
      <c r="G746">
        <v>4301.3092440565197</v>
      </c>
      <c r="H746" s="9">
        <f t="shared" si="47"/>
        <v>215065.46220282599</v>
      </c>
      <c r="I746" s="9">
        <f t="shared" si="46"/>
        <v>-198908.3529160436</v>
      </c>
    </row>
    <row r="747" spans="3:9" x14ac:dyDescent="0.35">
      <c r="C747">
        <v>13130.405590990937</v>
      </c>
      <c r="D747" s="9">
        <f t="shared" si="44"/>
        <v>300000</v>
      </c>
      <c r="E747" s="9">
        <f t="shared" si="45"/>
        <v>419128.39136936562</v>
      </c>
      <c r="G747">
        <v>7101.0773033845026</v>
      </c>
      <c r="H747" s="9">
        <f t="shared" si="47"/>
        <v>300000</v>
      </c>
      <c r="I747" s="9">
        <f t="shared" si="46"/>
        <v>-2924.5887630848447</v>
      </c>
    </row>
    <row r="748" spans="3:9" x14ac:dyDescent="0.35">
      <c r="C748">
        <v>13057.466353343303</v>
      </c>
      <c r="D748" s="9">
        <f t="shared" si="44"/>
        <v>300000</v>
      </c>
      <c r="E748" s="9">
        <f t="shared" si="45"/>
        <v>414022.64473403117</v>
      </c>
      <c r="G748">
        <v>3532.0902127140112</v>
      </c>
      <c r="H748" s="9">
        <f t="shared" si="47"/>
        <v>176604.51063570057</v>
      </c>
      <c r="I748" s="9">
        <f t="shared" si="46"/>
        <v>-252753.68511001923</v>
      </c>
    </row>
    <row r="749" spans="3:9" x14ac:dyDescent="0.35">
      <c r="C749">
        <v>14237.769707327494</v>
      </c>
      <c r="D749" s="9">
        <f t="shared" si="44"/>
        <v>300000</v>
      </c>
      <c r="E749" s="9">
        <f t="shared" si="45"/>
        <v>496643.87951292458</v>
      </c>
      <c r="G749">
        <v>3847.804193243202</v>
      </c>
      <c r="H749" s="9">
        <f t="shared" si="47"/>
        <v>192390.20966216011</v>
      </c>
      <c r="I749" s="9">
        <f t="shared" si="46"/>
        <v>-230653.70647297584</v>
      </c>
    </row>
    <row r="750" spans="3:9" x14ac:dyDescent="0.35">
      <c r="C750">
        <v>16784.691915646839</v>
      </c>
      <c r="D750" s="9">
        <f t="shared" si="44"/>
        <v>300000</v>
      </c>
      <c r="E750" s="9">
        <f t="shared" si="45"/>
        <v>550000</v>
      </c>
      <c r="G750">
        <v>4275.3685110019233</v>
      </c>
      <c r="H750" s="9">
        <f t="shared" si="47"/>
        <v>213768.42555009617</v>
      </c>
      <c r="I750" s="9">
        <f t="shared" si="46"/>
        <v>-200724.2042298654</v>
      </c>
    </row>
    <row r="751" spans="3:9" x14ac:dyDescent="0.35">
      <c r="C751">
        <v>16465.16312143315</v>
      </c>
      <c r="D751" s="9">
        <f t="shared" si="44"/>
        <v>300000</v>
      </c>
      <c r="E751" s="9">
        <f t="shared" si="45"/>
        <v>550000</v>
      </c>
      <c r="G751">
        <v>5760.551774651326</v>
      </c>
      <c r="H751" s="9">
        <f t="shared" si="47"/>
        <v>288027.58873256628</v>
      </c>
      <c r="I751" s="9">
        <f t="shared" si="46"/>
        <v>-96761.375774407177</v>
      </c>
    </row>
    <row r="752" spans="3:9" x14ac:dyDescent="0.35">
      <c r="C752">
        <v>16210.028382213812</v>
      </c>
      <c r="D752" s="9">
        <f t="shared" si="44"/>
        <v>300000</v>
      </c>
      <c r="E752" s="9">
        <f t="shared" si="45"/>
        <v>550000</v>
      </c>
      <c r="G752">
        <v>4825.1594592120118</v>
      </c>
      <c r="H752" s="9">
        <f t="shared" si="47"/>
        <v>241257.9729606006</v>
      </c>
      <c r="I752" s="9">
        <f t="shared" si="46"/>
        <v>-162238.83785515919</v>
      </c>
    </row>
    <row r="753" spans="3:9" x14ac:dyDescent="0.35">
      <c r="C753">
        <v>15867.610705893125</v>
      </c>
      <c r="D753" s="9">
        <f t="shared" si="44"/>
        <v>300000</v>
      </c>
      <c r="E753" s="9">
        <f t="shared" si="45"/>
        <v>550000</v>
      </c>
      <c r="G753">
        <v>4100.4974517044584</v>
      </c>
      <c r="H753" s="9">
        <f t="shared" si="47"/>
        <v>205024.87258522291</v>
      </c>
      <c r="I753" s="9">
        <f t="shared" si="46"/>
        <v>-212965.1783806879</v>
      </c>
    </row>
    <row r="754" spans="3:9" x14ac:dyDescent="0.35">
      <c r="C754">
        <v>16964.140751365703</v>
      </c>
      <c r="D754" s="9">
        <f t="shared" si="44"/>
        <v>300000</v>
      </c>
      <c r="E754" s="9">
        <f t="shared" si="45"/>
        <v>550000</v>
      </c>
      <c r="G754">
        <v>3280.6176946317942</v>
      </c>
      <c r="H754" s="9">
        <f t="shared" si="47"/>
        <v>164030.8847315897</v>
      </c>
      <c r="I754" s="9">
        <f t="shared" si="46"/>
        <v>-270356.7613757744</v>
      </c>
    </row>
    <row r="755" spans="3:9" x14ac:dyDescent="0.35">
      <c r="C755">
        <v>15730.124820703757</v>
      </c>
      <c r="D755" s="9">
        <f t="shared" si="44"/>
        <v>300000</v>
      </c>
      <c r="E755" s="9">
        <f t="shared" si="45"/>
        <v>550000</v>
      </c>
      <c r="G755">
        <v>7980.0103762932222</v>
      </c>
      <c r="H755" s="9">
        <f t="shared" si="47"/>
        <v>300000</v>
      </c>
      <c r="I755" s="9">
        <f t="shared" si="46"/>
        <v>58600.726340525551</v>
      </c>
    </row>
    <row r="756" spans="3:9" x14ac:dyDescent="0.35">
      <c r="C756">
        <v>13976.226081118199</v>
      </c>
      <c r="D756" s="9">
        <f t="shared" si="44"/>
        <v>300000</v>
      </c>
      <c r="E756" s="9">
        <f t="shared" si="45"/>
        <v>478335.82567827392</v>
      </c>
      <c r="G756">
        <v>4885.7387005218661</v>
      </c>
      <c r="H756" s="9">
        <f t="shared" si="47"/>
        <v>244286.9350260933</v>
      </c>
      <c r="I756" s="9">
        <f t="shared" si="46"/>
        <v>-157998.29096346936</v>
      </c>
    </row>
    <row r="757" spans="3:9" x14ac:dyDescent="0.35">
      <c r="C757">
        <v>15974.272896511735</v>
      </c>
      <c r="D757" s="9">
        <f t="shared" si="44"/>
        <v>300000</v>
      </c>
      <c r="E757" s="9">
        <f t="shared" si="45"/>
        <v>550000</v>
      </c>
      <c r="G757">
        <v>5491.8362987151704</v>
      </c>
      <c r="H757" s="9">
        <f t="shared" si="47"/>
        <v>274591.81493575854</v>
      </c>
      <c r="I757" s="9">
        <f t="shared" si="46"/>
        <v>-115571.45908993809</v>
      </c>
    </row>
    <row r="758" spans="3:9" x14ac:dyDescent="0.35">
      <c r="C758">
        <v>16164.403210547196</v>
      </c>
      <c r="D758" s="9">
        <f t="shared" si="44"/>
        <v>300000</v>
      </c>
      <c r="E758" s="9">
        <f t="shared" si="45"/>
        <v>550000</v>
      </c>
      <c r="G758">
        <v>4201.8189031647689</v>
      </c>
      <c r="H758" s="9">
        <f t="shared" si="47"/>
        <v>210090.94515823844</v>
      </c>
      <c r="I758" s="9">
        <f t="shared" si="46"/>
        <v>-205872.67677846615</v>
      </c>
    </row>
    <row r="759" spans="3:9" x14ac:dyDescent="0.35">
      <c r="C759">
        <v>15359.32493057039</v>
      </c>
      <c r="D759" s="9">
        <f t="shared" si="44"/>
        <v>300000</v>
      </c>
      <c r="E759" s="9">
        <f t="shared" si="45"/>
        <v>550000</v>
      </c>
      <c r="G759">
        <v>5488.4792626728113</v>
      </c>
      <c r="H759" s="9">
        <f t="shared" si="47"/>
        <v>274423.96313364059</v>
      </c>
      <c r="I759" s="9">
        <f t="shared" si="46"/>
        <v>-115806.45161290321</v>
      </c>
    </row>
    <row r="760" spans="3:9" x14ac:dyDescent="0.35">
      <c r="C760">
        <v>16024.93362224189</v>
      </c>
      <c r="D760" s="9">
        <f t="shared" si="44"/>
        <v>300000</v>
      </c>
      <c r="E760" s="9">
        <f t="shared" si="45"/>
        <v>550000</v>
      </c>
      <c r="G760">
        <v>4875.2098147526476</v>
      </c>
      <c r="H760" s="9">
        <f t="shared" si="47"/>
        <v>243760.49073763238</v>
      </c>
      <c r="I760" s="9">
        <f t="shared" si="46"/>
        <v>-158735.31296731468</v>
      </c>
    </row>
    <row r="761" spans="3:9" x14ac:dyDescent="0.35">
      <c r="C761">
        <v>14138.126773888363</v>
      </c>
      <c r="D761" s="9">
        <f t="shared" si="44"/>
        <v>300000</v>
      </c>
      <c r="E761" s="9">
        <f t="shared" si="45"/>
        <v>489668.87417218543</v>
      </c>
      <c r="G761">
        <v>7988.097781304361</v>
      </c>
      <c r="H761" s="9">
        <f t="shared" si="47"/>
        <v>300000</v>
      </c>
      <c r="I761" s="9">
        <f t="shared" si="46"/>
        <v>59166.844691305305</v>
      </c>
    </row>
    <row r="762" spans="3:9" x14ac:dyDescent="0.35">
      <c r="C762">
        <v>12385.143589587085</v>
      </c>
      <c r="D762" s="9">
        <f t="shared" si="44"/>
        <v>300000</v>
      </c>
      <c r="E762" s="9">
        <f t="shared" si="45"/>
        <v>366960.05127109599</v>
      </c>
      <c r="G762">
        <v>4290.7803582873012</v>
      </c>
      <c r="H762" s="9">
        <f t="shared" si="47"/>
        <v>214539.01791436505</v>
      </c>
      <c r="I762" s="9">
        <f t="shared" si="46"/>
        <v>-199645.37491988891</v>
      </c>
    </row>
    <row r="763" spans="3:9" x14ac:dyDescent="0.35">
      <c r="C763">
        <v>13631.67210913419</v>
      </c>
      <c r="D763" s="9">
        <f t="shared" si="44"/>
        <v>300000</v>
      </c>
      <c r="E763" s="9">
        <f t="shared" si="45"/>
        <v>454217.04763939325</v>
      </c>
      <c r="G763">
        <v>7576.8608661152984</v>
      </c>
      <c r="H763" s="9">
        <f t="shared" si="47"/>
        <v>300000</v>
      </c>
      <c r="I763" s="9">
        <f t="shared" si="46"/>
        <v>30380.260628070915</v>
      </c>
    </row>
    <row r="764" spans="3:9" x14ac:dyDescent="0.35">
      <c r="C764">
        <v>13185.796685689871</v>
      </c>
      <c r="D764" s="9">
        <f t="shared" si="44"/>
        <v>300000</v>
      </c>
      <c r="E764" s="9">
        <f t="shared" si="45"/>
        <v>423005.76799829095</v>
      </c>
      <c r="G764">
        <v>6279.6716208380385</v>
      </c>
      <c r="H764" s="9">
        <f t="shared" si="47"/>
        <v>300000</v>
      </c>
      <c r="I764" s="9">
        <f t="shared" si="46"/>
        <v>-60422.986541337334</v>
      </c>
    </row>
    <row r="765" spans="3:9" x14ac:dyDescent="0.35">
      <c r="C765">
        <v>13370.891445661793</v>
      </c>
      <c r="D765" s="9">
        <f t="shared" si="44"/>
        <v>300000</v>
      </c>
      <c r="E765" s="9">
        <f t="shared" si="45"/>
        <v>435962.40119632555</v>
      </c>
      <c r="G765">
        <v>6556.6270943327127</v>
      </c>
      <c r="H765" s="9">
        <f t="shared" si="47"/>
        <v>300000</v>
      </c>
      <c r="I765" s="9">
        <f t="shared" si="46"/>
        <v>-41036.103396710125</v>
      </c>
    </row>
    <row r="766" spans="3:9" x14ac:dyDescent="0.35">
      <c r="C766">
        <v>12590.075380718406</v>
      </c>
      <c r="D766" s="9">
        <f t="shared" si="44"/>
        <v>300000</v>
      </c>
      <c r="E766" s="9">
        <f t="shared" si="45"/>
        <v>381305.27665028849</v>
      </c>
      <c r="G766">
        <v>7866.3289284951325</v>
      </c>
      <c r="H766" s="9">
        <f t="shared" si="47"/>
        <v>300000</v>
      </c>
      <c r="I766" s="9">
        <f t="shared" si="46"/>
        <v>50643.024994659238</v>
      </c>
    </row>
    <row r="767" spans="3:9" x14ac:dyDescent="0.35">
      <c r="C767">
        <v>14161.168248542741</v>
      </c>
      <c r="D767" s="9">
        <f t="shared" si="44"/>
        <v>300000</v>
      </c>
      <c r="E767" s="9">
        <f t="shared" si="45"/>
        <v>491281.77739799186</v>
      </c>
      <c r="G767">
        <v>6126.4687032685324</v>
      </c>
      <c r="H767" s="9">
        <f t="shared" si="47"/>
        <v>300000</v>
      </c>
      <c r="I767" s="9">
        <f t="shared" si="46"/>
        <v>-71147.190771202731</v>
      </c>
    </row>
    <row r="768" spans="3:9" x14ac:dyDescent="0.35">
      <c r="C768">
        <v>13604.663228247933</v>
      </c>
      <c r="D768" s="9">
        <f t="shared" si="44"/>
        <v>300000</v>
      </c>
      <c r="E768" s="9">
        <f t="shared" si="45"/>
        <v>452326.42597735533</v>
      </c>
      <c r="G768">
        <v>6445.6923123874622</v>
      </c>
      <c r="H768" s="9">
        <f t="shared" si="47"/>
        <v>300000</v>
      </c>
      <c r="I768" s="9">
        <f t="shared" si="46"/>
        <v>-48801.538132877671</v>
      </c>
    </row>
    <row r="769" spans="3:9" x14ac:dyDescent="0.35">
      <c r="C769">
        <v>14774.285103915525</v>
      </c>
      <c r="D769" s="9">
        <f t="shared" si="44"/>
        <v>300000</v>
      </c>
      <c r="E769" s="9">
        <f t="shared" si="45"/>
        <v>534199.95727408677</v>
      </c>
      <c r="G769">
        <v>7685.8119449446085</v>
      </c>
      <c r="H769" s="9">
        <f t="shared" si="47"/>
        <v>300000</v>
      </c>
      <c r="I769" s="9">
        <f t="shared" si="46"/>
        <v>38006.836146122543</v>
      </c>
    </row>
    <row r="770" spans="3:9" x14ac:dyDescent="0.35">
      <c r="C770">
        <v>14355.113376262703</v>
      </c>
      <c r="D770" s="9">
        <f t="shared" si="44"/>
        <v>300000</v>
      </c>
      <c r="E770" s="9">
        <f t="shared" si="45"/>
        <v>504857.93633838918</v>
      </c>
      <c r="G770">
        <v>7380.0164799951172</v>
      </c>
      <c r="H770" s="9">
        <f t="shared" si="47"/>
        <v>300000</v>
      </c>
      <c r="I770" s="9">
        <f t="shared" si="46"/>
        <v>16601.153599658224</v>
      </c>
    </row>
    <row r="771" spans="3:9" x14ac:dyDescent="0.35">
      <c r="C771">
        <v>14075.258644367808</v>
      </c>
      <c r="D771" s="9">
        <f t="shared" si="44"/>
        <v>300000</v>
      </c>
      <c r="E771" s="9">
        <f t="shared" si="45"/>
        <v>485268.10510574654</v>
      </c>
      <c r="G771">
        <v>5532.1207312234874</v>
      </c>
      <c r="H771" s="9">
        <f t="shared" si="47"/>
        <v>276606.03656117438</v>
      </c>
      <c r="I771" s="9">
        <f t="shared" si="46"/>
        <v>-112751.54881435586</v>
      </c>
    </row>
    <row r="772" spans="3:9" x14ac:dyDescent="0.35">
      <c r="C772">
        <v>13830.805383465071</v>
      </c>
      <c r="D772" s="9">
        <f t="shared" si="44"/>
        <v>300000</v>
      </c>
      <c r="E772" s="9">
        <f t="shared" si="45"/>
        <v>468156.37684255501</v>
      </c>
      <c r="G772">
        <v>4437.7269814142273</v>
      </c>
      <c r="H772" s="9">
        <f t="shared" si="47"/>
        <v>221886.34907071135</v>
      </c>
      <c r="I772" s="9">
        <f t="shared" si="46"/>
        <v>-189359.11130100407</v>
      </c>
    </row>
    <row r="773" spans="3:9" x14ac:dyDescent="0.35">
      <c r="C773">
        <v>12403.912472914823</v>
      </c>
      <c r="D773" s="9">
        <f t="shared" si="44"/>
        <v>300000</v>
      </c>
      <c r="E773" s="9">
        <f t="shared" si="45"/>
        <v>368273.8731040376</v>
      </c>
      <c r="G773">
        <v>4936.7046113467823</v>
      </c>
      <c r="H773" s="9">
        <f t="shared" si="47"/>
        <v>246835.23056733911</v>
      </c>
      <c r="I773" s="9">
        <f t="shared" si="46"/>
        <v>-154430.67720572522</v>
      </c>
    </row>
    <row r="774" spans="3:9" x14ac:dyDescent="0.35">
      <c r="C774">
        <v>16902.493362224188</v>
      </c>
      <c r="D774" s="9">
        <f t="shared" si="44"/>
        <v>300000</v>
      </c>
      <c r="E774" s="9">
        <f t="shared" si="45"/>
        <v>550000</v>
      </c>
      <c r="G774">
        <v>7385.3572191534167</v>
      </c>
      <c r="H774" s="9">
        <f t="shared" si="47"/>
        <v>300000</v>
      </c>
      <c r="I774" s="9">
        <f t="shared" si="46"/>
        <v>16975.005340739153</v>
      </c>
    </row>
    <row r="775" spans="3:9" x14ac:dyDescent="0.35">
      <c r="C775">
        <v>14040.314951017792</v>
      </c>
      <c r="D775" s="9">
        <f t="shared" si="44"/>
        <v>300000</v>
      </c>
      <c r="E775" s="9">
        <f t="shared" si="45"/>
        <v>482822.04657124542</v>
      </c>
      <c r="G775">
        <v>3922.8797265541552</v>
      </c>
      <c r="H775" s="9">
        <f t="shared" si="47"/>
        <v>196143.98632770777</v>
      </c>
      <c r="I775" s="9">
        <f t="shared" si="46"/>
        <v>-225398.41914120916</v>
      </c>
    </row>
    <row r="776" spans="3:9" x14ac:dyDescent="0.35">
      <c r="C776">
        <v>14366.863002410963</v>
      </c>
      <c r="D776" s="9">
        <f t="shared" si="44"/>
        <v>300000</v>
      </c>
      <c r="E776" s="9">
        <f t="shared" si="45"/>
        <v>505680.41016876732</v>
      </c>
      <c r="G776">
        <v>7999.2370372631003</v>
      </c>
      <c r="H776" s="9">
        <f t="shared" si="47"/>
        <v>300000</v>
      </c>
      <c r="I776" s="9">
        <f t="shared" si="46"/>
        <v>59946.592608417035</v>
      </c>
    </row>
    <row r="777" spans="3:9" x14ac:dyDescent="0.35">
      <c r="C777">
        <v>14744.987334818568</v>
      </c>
      <c r="D777" s="9">
        <f t="shared" si="44"/>
        <v>300000</v>
      </c>
      <c r="E777" s="9">
        <f t="shared" si="45"/>
        <v>532149.11343729973</v>
      </c>
      <c r="G777">
        <v>6185.3694265572067</v>
      </c>
      <c r="H777" s="9">
        <f t="shared" si="47"/>
        <v>300000</v>
      </c>
      <c r="I777" s="9">
        <f t="shared" si="46"/>
        <v>-67024.140140995558</v>
      </c>
    </row>
    <row r="778" spans="3:9" x14ac:dyDescent="0.35">
      <c r="C778">
        <v>12298.776207770012</v>
      </c>
      <c r="D778" s="9">
        <f t="shared" si="44"/>
        <v>300000</v>
      </c>
      <c r="E778" s="9">
        <f t="shared" si="45"/>
        <v>360914.3345439008</v>
      </c>
      <c r="G778">
        <v>3436.7198706015197</v>
      </c>
      <c r="H778" s="9">
        <f t="shared" si="47"/>
        <v>171835.993530076</v>
      </c>
      <c r="I778" s="9">
        <f t="shared" si="46"/>
        <v>-259429.60905789363</v>
      </c>
    </row>
    <row r="779" spans="3:9" x14ac:dyDescent="0.35">
      <c r="C779">
        <v>12789.208655049288</v>
      </c>
      <c r="D779" s="9">
        <f t="shared" si="44"/>
        <v>300000</v>
      </c>
      <c r="E779" s="9">
        <f t="shared" si="45"/>
        <v>395244.60585345014</v>
      </c>
      <c r="G779">
        <v>4589.4039735099341</v>
      </c>
      <c r="H779" s="9">
        <f t="shared" si="47"/>
        <v>229470.19867549671</v>
      </c>
      <c r="I779" s="9">
        <f t="shared" si="46"/>
        <v>-178741.7218543046</v>
      </c>
    </row>
    <row r="780" spans="3:9" x14ac:dyDescent="0.35">
      <c r="C780">
        <v>16712.973418378246</v>
      </c>
      <c r="D780" s="9">
        <f t="shared" ref="D780:D843" si="48">50*MIN(C780,6000)</f>
        <v>300000</v>
      </c>
      <c r="E780" s="9">
        <f t="shared" ref="E780:E843" si="49">70*MIN(C780,15000)-500000</f>
        <v>550000</v>
      </c>
      <c r="G780">
        <v>4897.9461043122656</v>
      </c>
      <c r="H780" s="9">
        <f t="shared" si="47"/>
        <v>244897.30521561328</v>
      </c>
      <c r="I780" s="9">
        <f t="shared" ref="I780:I843" si="50">70*MIN(G780,15000)-500000</f>
        <v>-157143.7726981414</v>
      </c>
    </row>
    <row r="781" spans="3:9" x14ac:dyDescent="0.35">
      <c r="C781">
        <v>16704.275643177585</v>
      </c>
      <c r="D781" s="9">
        <f t="shared" si="48"/>
        <v>300000</v>
      </c>
      <c r="E781" s="9">
        <f t="shared" si="49"/>
        <v>550000</v>
      </c>
      <c r="G781">
        <v>7709.7689748832663</v>
      </c>
      <c r="H781" s="9">
        <f t="shared" ref="H781:H844" si="51">50*MIN(G781,6000)</f>
        <v>300000</v>
      </c>
      <c r="I781" s="9">
        <f t="shared" si="50"/>
        <v>39683.828241828596</v>
      </c>
    </row>
    <row r="782" spans="3:9" x14ac:dyDescent="0.35">
      <c r="C782">
        <v>15103.732413708914</v>
      </c>
      <c r="D782" s="9">
        <f t="shared" si="48"/>
        <v>300000</v>
      </c>
      <c r="E782" s="9">
        <f t="shared" si="49"/>
        <v>550000</v>
      </c>
      <c r="G782">
        <v>5452.314828943754</v>
      </c>
      <c r="H782" s="9">
        <f t="shared" si="51"/>
        <v>272615.74144718773</v>
      </c>
      <c r="I782" s="9">
        <f t="shared" si="50"/>
        <v>-118337.96197393723</v>
      </c>
    </row>
    <row r="783" spans="3:9" x14ac:dyDescent="0.35">
      <c r="C783">
        <v>16305.856501968443</v>
      </c>
      <c r="D783" s="9">
        <f t="shared" si="48"/>
        <v>300000</v>
      </c>
      <c r="E783" s="9">
        <f t="shared" si="49"/>
        <v>550000</v>
      </c>
      <c r="G783">
        <v>4020.5389568773462</v>
      </c>
      <c r="H783" s="9">
        <f t="shared" si="51"/>
        <v>201026.9478438673</v>
      </c>
      <c r="I783" s="9">
        <f t="shared" si="50"/>
        <v>-218562.27301858575</v>
      </c>
    </row>
    <row r="784" spans="3:9" x14ac:dyDescent="0.35">
      <c r="C784">
        <v>16435.407574694051</v>
      </c>
      <c r="D784" s="9">
        <f t="shared" si="48"/>
        <v>300000</v>
      </c>
      <c r="E784" s="9">
        <f t="shared" si="49"/>
        <v>550000</v>
      </c>
      <c r="G784">
        <v>4438.9477217932672</v>
      </c>
      <c r="H784" s="9">
        <f t="shared" si="51"/>
        <v>221947.38608966337</v>
      </c>
      <c r="I784" s="9">
        <f t="shared" si="50"/>
        <v>-189273.65947447129</v>
      </c>
    </row>
    <row r="785" spans="3:9" x14ac:dyDescent="0.35">
      <c r="C785">
        <v>13527.29880672628</v>
      </c>
      <c r="D785" s="9">
        <f t="shared" si="48"/>
        <v>300000</v>
      </c>
      <c r="E785" s="9">
        <f t="shared" si="49"/>
        <v>446910.91647083953</v>
      </c>
      <c r="G785">
        <v>7780.1141392254403</v>
      </c>
      <c r="H785" s="9">
        <f t="shared" si="51"/>
        <v>300000</v>
      </c>
      <c r="I785" s="9">
        <f t="shared" si="50"/>
        <v>44607.989745780826</v>
      </c>
    </row>
    <row r="786" spans="3:9" x14ac:dyDescent="0.35">
      <c r="C786">
        <v>16242.68318735313</v>
      </c>
      <c r="D786" s="9">
        <f t="shared" si="48"/>
        <v>300000</v>
      </c>
      <c r="E786" s="9">
        <f t="shared" si="49"/>
        <v>550000</v>
      </c>
      <c r="G786">
        <v>7569.68901638844</v>
      </c>
      <c r="H786" s="9">
        <f t="shared" si="51"/>
        <v>300000</v>
      </c>
      <c r="I786" s="9">
        <f t="shared" si="50"/>
        <v>29878.231147190789</v>
      </c>
    </row>
    <row r="787" spans="3:9" x14ac:dyDescent="0.35">
      <c r="C787">
        <v>14324.442274239325</v>
      </c>
      <c r="D787" s="9">
        <f t="shared" si="48"/>
        <v>300000</v>
      </c>
      <c r="E787" s="9">
        <f t="shared" si="49"/>
        <v>502710.95919675275</v>
      </c>
      <c r="G787">
        <v>5459.6392712179932</v>
      </c>
      <c r="H787" s="9">
        <f t="shared" si="51"/>
        <v>272981.96356089966</v>
      </c>
      <c r="I787" s="9">
        <f t="shared" si="50"/>
        <v>-117825.2510147405</v>
      </c>
    </row>
    <row r="788" spans="3:9" x14ac:dyDescent="0.35">
      <c r="C788">
        <v>14294.076357310709</v>
      </c>
      <c r="D788" s="9">
        <f t="shared" si="48"/>
        <v>300000</v>
      </c>
      <c r="E788" s="9">
        <f t="shared" si="49"/>
        <v>500585.34501174965</v>
      </c>
      <c r="G788">
        <v>7422.7423932615129</v>
      </c>
      <c r="H788" s="9">
        <f t="shared" si="51"/>
        <v>300000</v>
      </c>
      <c r="I788" s="9">
        <f t="shared" si="50"/>
        <v>19591.96752830589</v>
      </c>
    </row>
    <row r="789" spans="3:9" x14ac:dyDescent="0.35">
      <c r="C789">
        <v>15545.182653279215</v>
      </c>
      <c r="D789" s="9">
        <f t="shared" si="48"/>
        <v>300000</v>
      </c>
      <c r="E789" s="9">
        <f t="shared" si="49"/>
        <v>550000</v>
      </c>
      <c r="G789">
        <v>4905.5757316812651</v>
      </c>
      <c r="H789" s="9">
        <f t="shared" si="51"/>
        <v>245278.78658406326</v>
      </c>
      <c r="I789" s="9">
        <f t="shared" si="50"/>
        <v>-156609.69878231146</v>
      </c>
    </row>
    <row r="790" spans="3:9" x14ac:dyDescent="0.35">
      <c r="C790">
        <v>14393.2615131077</v>
      </c>
      <c r="D790" s="9">
        <f t="shared" si="48"/>
        <v>300000</v>
      </c>
      <c r="E790" s="9">
        <f t="shared" si="49"/>
        <v>507528.30591753905</v>
      </c>
      <c r="G790">
        <v>4028.6263618884855</v>
      </c>
      <c r="H790" s="9">
        <f t="shared" si="51"/>
        <v>201431.31809442426</v>
      </c>
      <c r="I790" s="9">
        <f t="shared" si="50"/>
        <v>-217996.154667806</v>
      </c>
    </row>
    <row r="791" spans="3:9" x14ac:dyDescent="0.35">
      <c r="C791">
        <v>14300.943021942809</v>
      </c>
      <c r="D791" s="9">
        <f t="shared" si="48"/>
        <v>300000</v>
      </c>
      <c r="E791" s="9">
        <f t="shared" si="49"/>
        <v>501066.01153599657</v>
      </c>
      <c r="G791">
        <v>4382.793664357433</v>
      </c>
      <c r="H791" s="9">
        <f t="shared" si="51"/>
        <v>219139.68321787164</v>
      </c>
      <c r="I791" s="9">
        <f t="shared" si="50"/>
        <v>-193204.4434949797</v>
      </c>
    </row>
    <row r="792" spans="3:9" x14ac:dyDescent="0.35">
      <c r="C792">
        <v>14955.717642750327</v>
      </c>
      <c r="D792" s="9">
        <f t="shared" si="48"/>
        <v>300000</v>
      </c>
      <c r="E792" s="9">
        <f t="shared" si="49"/>
        <v>546900.23499252286</v>
      </c>
      <c r="G792">
        <v>5332.5296792504651</v>
      </c>
      <c r="H792" s="9">
        <f t="shared" si="51"/>
        <v>266626.48396252323</v>
      </c>
      <c r="I792" s="9">
        <f t="shared" si="50"/>
        <v>-126722.92245246744</v>
      </c>
    </row>
    <row r="793" spans="3:9" x14ac:dyDescent="0.35">
      <c r="C793">
        <v>15156.987212744531</v>
      </c>
      <c r="D793" s="9">
        <f t="shared" si="48"/>
        <v>300000</v>
      </c>
      <c r="E793" s="9">
        <f t="shared" si="49"/>
        <v>550000</v>
      </c>
      <c r="G793">
        <v>3397.1984008301033</v>
      </c>
      <c r="H793" s="9">
        <f t="shared" si="51"/>
        <v>169859.92004150516</v>
      </c>
      <c r="I793" s="9">
        <f t="shared" si="50"/>
        <v>-262196.11194189277</v>
      </c>
    </row>
    <row r="794" spans="3:9" x14ac:dyDescent="0.35">
      <c r="C794">
        <v>15661.305581835382</v>
      </c>
      <c r="D794" s="9">
        <f t="shared" si="48"/>
        <v>300000</v>
      </c>
      <c r="E794" s="9">
        <f t="shared" si="49"/>
        <v>550000</v>
      </c>
      <c r="G794">
        <v>3109.7140415662097</v>
      </c>
      <c r="H794" s="9">
        <f t="shared" si="51"/>
        <v>155485.70207831048</v>
      </c>
      <c r="I794" s="9">
        <f t="shared" si="50"/>
        <v>-282320.01709036529</v>
      </c>
    </row>
    <row r="795" spans="3:9" x14ac:dyDescent="0.35">
      <c r="C795">
        <v>15509.323404644918</v>
      </c>
      <c r="D795" s="9">
        <f t="shared" si="48"/>
        <v>300000</v>
      </c>
      <c r="E795" s="9">
        <f t="shared" si="49"/>
        <v>550000</v>
      </c>
      <c r="G795">
        <v>4808.8320566423536</v>
      </c>
      <c r="H795" s="9">
        <f t="shared" si="51"/>
        <v>240441.60283211767</v>
      </c>
      <c r="I795" s="9">
        <f t="shared" si="50"/>
        <v>-163381.75603503524</v>
      </c>
    </row>
    <row r="796" spans="3:9" x14ac:dyDescent="0.35">
      <c r="C796">
        <v>15326.670125431074</v>
      </c>
      <c r="D796" s="9">
        <f t="shared" si="48"/>
        <v>300000</v>
      </c>
      <c r="E796" s="9">
        <f t="shared" si="49"/>
        <v>550000</v>
      </c>
      <c r="G796">
        <v>7033.3262123477889</v>
      </c>
      <c r="H796" s="9">
        <f t="shared" si="51"/>
        <v>300000</v>
      </c>
      <c r="I796" s="9">
        <f t="shared" si="50"/>
        <v>-7667.1651356547954</v>
      </c>
    </row>
    <row r="797" spans="3:9" x14ac:dyDescent="0.35">
      <c r="C797">
        <v>14955.870235297709</v>
      </c>
      <c r="D797" s="9">
        <f t="shared" si="48"/>
        <v>300000</v>
      </c>
      <c r="E797" s="9">
        <f t="shared" si="49"/>
        <v>546910.91647083964</v>
      </c>
      <c r="G797">
        <v>6400.5249183629876</v>
      </c>
      <c r="H797" s="9">
        <f t="shared" si="51"/>
        <v>300000</v>
      </c>
      <c r="I797" s="9">
        <f t="shared" si="50"/>
        <v>-51963.255714590894</v>
      </c>
    </row>
    <row r="798" spans="3:9" x14ac:dyDescent="0.35">
      <c r="C798">
        <v>14827.692495498521</v>
      </c>
      <c r="D798" s="9">
        <f t="shared" si="48"/>
        <v>300000</v>
      </c>
      <c r="E798" s="9">
        <f t="shared" si="49"/>
        <v>537938.47468489641</v>
      </c>
      <c r="G798">
        <v>3660.4205450605791</v>
      </c>
      <c r="H798" s="9">
        <f t="shared" si="51"/>
        <v>183021.02725302897</v>
      </c>
      <c r="I798" s="9">
        <f t="shared" si="50"/>
        <v>-243770.56184575945</v>
      </c>
    </row>
    <row r="799" spans="3:9" x14ac:dyDescent="0.35">
      <c r="C799">
        <v>13422.77291177099</v>
      </c>
      <c r="D799" s="9">
        <f t="shared" si="48"/>
        <v>300000</v>
      </c>
      <c r="E799" s="9">
        <f t="shared" si="49"/>
        <v>439594.10382396926</v>
      </c>
      <c r="G799">
        <v>7844.0504165776547</v>
      </c>
      <c r="H799" s="9">
        <f t="shared" si="51"/>
        <v>300000</v>
      </c>
      <c r="I799" s="9">
        <f t="shared" si="50"/>
        <v>49083.529160435777</v>
      </c>
    </row>
    <row r="800" spans="3:9" x14ac:dyDescent="0.35">
      <c r="C800">
        <v>12036.927396465957</v>
      </c>
      <c r="D800" s="9">
        <f t="shared" si="48"/>
        <v>300000</v>
      </c>
      <c r="E800" s="9">
        <f t="shared" si="49"/>
        <v>342584.91775261704</v>
      </c>
      <c r="G800">
        <v>3758.2323679311503</v>
      </c>
      <c r="H800" s="9">
        <f t="shared" si="51"/>
        <v>187911.61839655752</v>
      </c>
      <c r="I800" s="9">
        <f t="shared" si="50"/>
        <v>-236923.7342448195</v>
      </c>
    </row>
    <row r="801" spans="3:9" x14ac:dyDescent="0.35">
      <c r="C801">
        <v>13403.851435895871</v>
      </c>
      <c r="D801" s="9">
        <f t="shared" si="48"/>
        <v>300000</v>
      </c>
      <c r="E801" s="9">
        <f t="shared" si="49"/>
        <v>438269.60051271098</v>
      </c>
      <c r="G801">
        <v>4055.024872585223</v>
      </c>
      <c r="H801" s="9">
        <f t="shared" si="51"/>
        <v>202751.24362926115</v>
      </c>
      <c r="I801" s="9">
        <f t="shared" si="50"/>
        <v>-216148.25891903439</v>
      </c>
    </row>
    <row r="802" spans="3:9" x14ac:dyDescent="0.35">
      <c r="C802">
        <v>13951.50608844264</v>
      </c>
      <c r="D802" s="9">
        <f t="shared" si="48"/>
        <v>300000</v>
      </c>
      <c r="E802" s="9">
        <f t="shared" si="49"/>
        <v>476605.42619098478</v>
      </c>
      <c r="G802">
        <v>6240.7605212561421</v>
      </c>
      <c r="H802" s="9">
        <f t="shared" si="51"/>
        <v>300000</v>
      </c>
      <c r="I802" s="9">
        <f t="shared" si="50"/>
        <v>-63146.763512070058</v>
      </c>
    </row>
    <row r="803" spans="3:9" x14ac:dyDescent="0.35">
      <c r="C803">
        <v>12033.112582781458</v>
      </c>
      <c r="D803" s="9">
        <f t="shared" si="48"/>
        <v>300000</v>
      </c>
      <c r="E803" s="9">
        <f t="shared" si="49"/>
        <v>342317.88079470198</v>
      </c>
      <c r="G803">
        <v>6371.2271492660302</v>
      </c>
      <c r="H803" s="9">
        <f t="shared" si="51"/>
        <v>300000</v>
      </c>
      <c r="I803" s="9">
        <f t="shared" si="50"/>
        <v>-54014.099551377876</v>
      </c>
    </row>
    <row r="804" spans="3:9" x14ac:dyDescent="0.35">
      <c r="C804">
        <v>15105.716116824855</v>
      </c>
      <c r="D804" s="9">
        <f t="shared" si="48"/>
        <v>300000</v>
      </c>
      <c r="E804" s="9">
        <f t="shared" si="49"/>
        <v>550000</v>
      </c>
      <c r="G804">
        <v>5671.1325418866545</v>
      </c>
      <c r="H804" s="9">
        <f t="shared" si="51"/>
        <v>283556.62709433271</v>
      </c>
      <c r="I804" s="9">
        <f t="shared" si="50"/>
        <v>-103020.72206793417</v>
      </c>
    </row>
    <row r="805" spans="3:9" x14ac:dyDescent="0.35">
      <c r="C805">
        <v>16960.478530228582</v>
      </c>
      <c r="D805" s="9">
        <f t="shared" si="48"/>
        <v>300000</v>
      </c>
      <c r="E805" s="9">
        <f t="shared" si="49"/>
        <v>550000</v>
      </c>
      <c r="G805">
        <v>6937.8032776879181</v>
      </c>
      <c r="H805" s="9">
        <f t="shared" si="51"/>
        <v>300000</v>
      </c>
      <c r="I805" s="9">
        <f t="shared" si="50"/>
        <v>-14353.77056184574</v>
      </c>
    </row>
    <row r="806" spans="3:9" x14ac:dyDescent="0.35">
      <c r="C806">
        <v>16605.548265022735</v>
      </c>
      <c r="D806" s="9">
        <f t="shared" si="48"/>
        <v>300000</v>
      </c>
      <c r="E806" s="9">
        <f t="shared" si="49"/>
        <v>550000</v>
      </c>
      <c r="G806">
        <v>3419.6295052949613</v>
      </c>
      <c r="H806" s="9">
        <f t="shared" si="51"/>
        <v>170981.47526474806</v>
      </c>
      <c r="I806" s="9">
        <f t="shared" si="50"/>
        <v>-260625.93462935271</v>
      </c>
    </row>
    <row r="807" spans="3:9" x14ac:dyDescent="0.35">
      <c r="C807">
        <v>14267.06747642445</v>
      </c>
      <c r="D807" s="9">
        <f t="shared" si="48"/>
        <v>300000</v>
      </c>
      <c r="E807" s="9">
        <f t="shared" si="49"/>
        <v>498694.72334971151</v>
      </c>
      <c r="G807">
        <v>7285.8668782616651</v>
      </c>
      <c r="H807" s="9">
        <f t="shared" si="51"/>
        <v>300000</v>
      </c>
      <c r="I807" s="9">
        <f t="shared" si="50"/>
        <v>10010.681478316546</v>
      </c>
    </row>
    <row r="808" spans="3:9" x14ac:dyDescent="0.35">
      <c r="C808">
        <v>12318.308053834651</v>
      </c>
      <c r="D808" s="9">
        <f t="shared" si="48"/>
        <v>300000</v>
      </c>
      <c r="E808" s="9">
        <f t="shared" si="49"/>
        <v>362281.56376842561</v>
      </c>
      <c r="G808">
        <v>5778.8628803369247</v>
      </c>
      <c r="H808" s="9">
        <f t="shared" si="51"/>
        <v>288943.14401684626</v>
      </c>
      <c r="I808" s="9">
        <f t="shared" si="50"/>
        <v>-95479.598376415262</v>
      </c>
    </row>
    <row r="809" spans="3:9" x14ac:dyDescent="0.35">
      <c r="C809">
        <v>15073.671681875057</v>
      </c>
      <c r="D809" s="9">
        <f t="shared" si="48"/>
        <v>300000</v>
      </c>
      <c r="E809" s="9">
        <f t="shared" si="49"/>
        <v>550000</v>
      </c>
      <c r="G809">
        <v>7445.0209051789916</v>
      </c>
      <c r="H809" s="9">
        <f t="shared" si="51"/>
        <v>300000</v>
      </c>
      <c r="I809" s="9">
        <f t="shared" si="50"/>
        <v>21151.463362529408</v>
      </c>
    </row>
    <row r="810" spans="3:9" x14ac:dyDescent="0.35">
      <c r="C810">
        <v>13529.12991729484</v>
      </c>
      <c r="D810" s="9">
        <f t="shared" si="48"/>
        <v>300000</v>
      </c>
      <c r="E810" s="9">
        <f t="shared" si="49"/>
        <v>447039.09421063878</v>
      </c>
      <c r="G810">
        <v>6252.3575548570207</v>
      </c>
      <c r="H810" s="9">
        <f t="shared" si="51"/>
        <v>300000</v>
      </c>
      <c r="I810" s="9">
        <f t="shared" si="50"/>
        <v>-62334.971160008572</v>
      </c>
    </row>
    <row r="811" spans="3:9" x14ac:dyDescent="0.35">
      <c r="C811">
        <v>13152.989288003173</v>
      </c>
      <c r="D811" s="9">
        <f t="shared" si="48"/>
        <v>300000</v>
      </c>
      <c r="E811" s="9">
        <f t="shared" si="49"/>
        <v>420709.25016022206</v>
      </c>
      <c r="G811">
        <v>5188.1771294289993</v>
      </c>
      <c r="H811" s="9">
        <f t="shared" si="51"/>
        <v>259408.85647144995</v>
      </c>
      <c r="I811" s="9">
        <f t="shared" si="50"/>
        <v>-136827.60093997006</v>
      </c>
    </row>
    <row r="812" spans="3:9" x14ac:dyDescent="0.35">
      <c r="C812">
        <v>16349.6505630665</v>
      </c>
      <c r="D812" s="9">
        <f t="shared" si="48"/>
        <v>300000</v>
      </c>
      <c r="E812" s="9">
        <f t="shared" si="49"/>
        <v>550000</v>
      </c>
      <c r="G812">
        <v>4481.8262276070436</v>
      </c>
      <c r="H812" s="9">
        <f t="shared" si="51"/>
        <v>224091.31138035218</v>
      </c>
      <c r="I812" s="9">
        <f t="shared" si="50"/>
        <v>-186272.16406750696</v>
      </c>
    </row>
    <row r="813" spans="3:9" x14ac:dyDescent="0.35">
      <c r="C813">
        <v>16939.573351237526</v>
      </c>
      <c r="D813" s="9">
        <f t="shared" si="48"/>
        <v>300000</v>
      </c>
      <c r="E813" s="9">
        <f t="shared" si="49"/>
        <v>550000</v>
      </c>
      <c r="G813">
        <v>4270.9433271279031</v>
      </c>
      <c r="H813" s="9">
        <f t="shared" si="51"/>
        <v>213547.16635639514</v>
      </c>
      <c r="I813" s="9">
        <f t="shared" si="50"/>
        <v>-201033.96710104676</v>
      </c>
    </row>
    <row r="814" spans="3:9" x14ac:dyDescent="0.35">
      <c r="C814">
        <v>12977.66045106357</v>
      </c>
      <c r="D814" s="9">
        <f t="shared" si="48"/>
        <v>300000</v>
      </c>
      <c r="E814" s="9">
        <f t="shared" si="49"/>
        <v>408436.23157444992</v>
      </c>
      <c r="G814">
        <v>6470.8700827051607</v>
      </c>
      <c r="H814" s="9">
        <f t="shared" si="51"/>
        <v>300000</v>
      </c>
      <c r="I814" s="9">
        <f t="shared" si="50"/>
        <v>-47039.094210638723</v>
      </c>
    </row>
    <row r="815" spans="3:9" x14ac:dyDescent="0.35">
      <c r="C815">
        <v>13897.335734122746</v>
      </c>
      <c r="D815" s="9">
        <f t="shared" si="48"/>
        <v>300000</v>
      </c>
      <c r="E815" s="9">
        <f t="shared" si="49"/>
        <v>472813.50138859218</v>
      </c>
      <c r="G815">
        <v>3937.223426007874</v>
      </c>
      <c r="H815" s="9">
        <f t="shared" si="51"/>
        <v>196861.1713003937</v>
      </c>
      <c r="I815" s="9">
        <f t="shared" si="50"/>
        <v>-224394.36017944885</v>
      </c>
    </row>
    <row r="816" spans="3:9" x14ac:dyDescent="0.35">
      <c r="C816">
        <v>14160.252693258461</v>
      </c>
      <c r="D816" s="9">
        <f t="shared" si="48"/>
        <v>300000</v>
      </c>
      <c r="E816" s="9">
        <f t="shared" si="49"/>
        <v>491217.68852809223</v>
      </c>
      <c r="G816">
        <v>5538.3770256660664</v>
      </c>
      <c r="H816" s="9">
        <f t="shared" si="51"/>
        <v>276918.85128330335</v>
      </c>
      <c r="I816" s="9">
        <f t="shared" si="50"/>
        <v>-112313.60820337536</v>
      </c>
    </row>
    <row r="817" spans="3:9" x14ac:dyDescent="0.35">
      <c r="C817">
        <v>16432.813501388591</v>
      </c>
      <c r="D817" s="9">
        <f t="shared" si="48"/>
        <v>300000</v>
      </c>
      <c r="E817" s="9">
        <f t="shared" si="49"/>
        <v>550000</v>
      </c>
      <c r="G817">
        <v>7637.8978850672929</v>
      </c>
      <c r="H817" s="9">
        <f t="shared" si="51"/>
        <v>300000</v>
      </c>
      <c r="I817" s="9">
        <f t="shared" si="50"/>
        <v>34652.851954710553</v>
      </c>
    </row>
    <row r="818" spans="3:9" x14ac:dyDescent="0.35">
      <c r="C818">
        <v>16551.530503250222</v>
      </c>
      <c r="D818" s="9">
        <f t="shared" si="48"/>
        <v>300000</v>
      </c>
      <c r="E818" s="9">
        <f t="shared" si="49"/>
        <v>550000</v>
      </c>
      <c r="G818">
        <v>6418.9886165959651</v>
      </c>
      <c r="H818" s="9">
        <f t="shared" si="51"/>
        <v>300000</v>
      </c>
      <c r="I818" s="9">
        <f t="shared" si="50"/>
        <v>-50670.796838282433</v>
      </c>
    </row>
    <row r="819" spans="3:9" x14ac:dyDescent="0.35">
      <c r="C819">
        <v>14524.796288949248</v>
      </c>
      <c r="D819" s="9">
        <f t="shared" si="48"/>
        <v>300000</v>
      </c>
      <c r="E819" s="9">
        <f t="shared" si="49"/>
        <v>516735.74022644735</v>
      </c>
      <c r="G819">
        <v>4970.8853419598991</v>
      </c>
      <c r="H819" s="9">
        <f t="shared" si="51"/>
        <v>248544.26709799495</v>
      </c>
      <c r="I819" s="9">
        <f t="shared" si="50"/>
        <v>-152038.02606280707</v>
      </c>
    </row>
    <row r="820" spans="3:9" x14ac:dyDescent="0.35">
      <c r="C820">
        <v>15702.50556962798</v>
      </c>
      <c r="D820" s="9">
        <f t="shared" si="48"/>
        <v>300000</v>
      </c>
      <c r="E820" s="9">
        <f t="shared" si="49"/>
        <v>550000</v>
      </c>
      <c r="G820">
        <v>6726.6151921140172</v>
      </c>
      <c r="H820" s="9">
        <f t="shared" si="51"/>
        <v>300000</v>
      </c>
      <c r="I820" s="9">
        <f t="shared" si="50"/>
        <v>-29136.9365520188</v>
      </c>
    </row>
    <row r="821" spans="3:9" x14ac:dyDescent="0.35">
      <c r="C821">
        <v>14120.426038392285</v>
      </c>
      <c r="D821" s="9">
        <f t="shared" si="48"/>
        <v>300000</v>
      </c>
      <c r="E821" s="9">
        <f t="shared" si="49"/>
        <v>488429.82268745988</v>
      </c>
      <c r="G821">
        <v>5434.156315805536</v>
      </c>
      <c r="H821" s="9">
        <f t="shared" si="51"/>
        <v>271707.8157902768</v>
      </c>
      <c r="I821" s="9">
        <f t="shared" si="50"/>
        <v>-119609.05789361248</v>
      </c>
    </row>
    <row r="822" spans="3:9" x14ac:dyDescent="0.35">
      <c r="C822">
        <v>13782.738731040376</v>
      </c>
      <c r="D822" s="9">
        <f t="shared" si="48"/>
        <v>300000</v>
      </c>
      <c r="E822" s="9">
        <f t="shared" si="49"/>
        <v>464791.71117282624</v>
      </c>
      <c r="G822">
        <v>6262.2760704367192</v>
      </c>
      <c r="H822" s="9">
        <f t="shared" si="51"/>
        <v>300000</v>
      </c>
      <c r="I822" s="9">
        <f t="shared" si="50"/>
        <v>-61640.675069429679</v>
      </c>
    </row>
    <row r="823" spans="3:9" x14ac:dyDescent="0.35">
      <c r="C823">
        <v>15239.234595782342</v>
      </c>
      <c r="D823" s="9">
        <f t="shared" si="48"/>
        <v>300000</v>
      </c>
      <c r="E823" s="9">
        <f t="shared" si="49"/>
        <v>550000</v>
      </c>
      <c r="G823">
        <v>3801.2634662923065</v>
      </c>
      <c r="H823" s="9">
        <f t="shared" si="51"/>
        <v>190063.17331461533</v>
      </c>
      <c r="I823" s="9">
        <f t="shared" si="50"/>
        <v>-233911.55735953856</v>
      </c>
    </row>
    <row r="824" spans="3:9" x14ac:dyDescent="0.35">
      <c r="C824">
        <v>16460.73793755913</v>
      </c>
      <c r="D824" s="9">
        <f t="shared" si="48"/>
        <v>300000</v>
      </c>
      <c r="E824" s="9">
        <f t="shared" si="49"/>
        <v>550000</v>
      </c>
      <c r="G824">
        <v>5985.4731894894248</v>
      </c>
      <c r="H824" s="9">
        <f t="shared" si="51"/>
        <v>299273.65947447123</v>
      </c>
      <c r="I824" s="9">
        <f t="shared" si="50"/>
        <v>-81016.876735740283</v>
      </c>
    </row>
    <row r="825" spans="3:9" x14ac:dyDescent="0.35">
      <c r="C825">
        <v>12759.60570085757</v>
      </c>
      <c r="D825" s="9">
        <f t="shared" si="48"/>
        <v>300000</v>
      </c>
      <c r="E825" s="9">
        <f t="shared" si="49"/>
        <v>393172.39906002989</v>
      </c>
      <c r="G825">
        <v>7917.2948393200477</v>
      </c>
      <c r="H825" s="9">
        <f t="shared" si="51"/>
        <v>300000</v>
      </c>
      <c r="I825" s="9">
        <f t="shared" si="50"/>
        <v>54210.63875240332</v>
      </c>
    </row>
    <row r="826" spans="3:9" x14ac:dyDescent="0.35">
      <c r="C826">
        <v>16265.724662007508</v>
      </c>
      <c r="D826" s="9">
        <f t="shared" si="48"/>
        <v>300000</v>
      </c>
      <c r="E826" s="9">
        <f t="shared" si="49"/>
        <v>550000</v>
      </c>
      <c r="G826">
        <v>5504.3488876003294</v>
      </c>
      <c r="H826" s="9">
        <f t="shared" si="51"/>
        <v>275217.44438001647</v>
      </c>
      <c r="I826" s="9">
        <f t="shared" si="50"/>
        <v>-114695.57786797697</v>
      </c>
    </row>
    <row r="827" spans="3:9" x14ac:dyDescent="0.35">
      <c r="C827">
        <v>14161.62602618488</v>
      </c>
      <c r="D827" s="9">
        <f t="shared" si="48"/>
        <v>300000</v>
      </c>
      <c r="E827" s="9">
        <f t="shared" si="49"/>
        <v>491313.82183294161</v>
      </c>
      <c r="G827">
        <v>3589.0072328867459</v>
      </c>
      <c r="H827" s="9">
        <f t="shared" si="51"/>
        <v>179450.3616443373</v>
      </c>
      <c r="I827" s="9">
        <f t="shared" si="50"/>
        <v>-248769.4936979278</v>
      </c>
    </row>
    <row r="828" spans="3:9" x14ac:dyDescent="0.35">
      <c r="C828">
        <v>15864.101077303385</v>
      </c>
      <c r="D828" s="9">
        <f t="shared" si="48"/>
        <v>300000</v>
      </c>
      <c r="E828" s="9">
        <f t="shared" si="49"/>
        <v>550000</v>
      </c>
      <c r="G828">
        <v>6315.6834620197151</v>
      </c>
      <c r="H828" s="9">
        <f t="shared" si="51"/>
        <v>300000</v>
      </c>
      <c r="I828" s="9">
        <f t="shared" si="50"/>
        <v>-57902.157658619923</v>
      </c>
    </row>
    <row r="829" spans="3:9" x14ac:dyDescent="0.35">
      <c r="C829">
        <v>15189.336832789086</v>
      </c>
      <c r="D829" s="9">
        <f t="shared" si="48"/>
        <v>300000</v>
      </c>
      <c r="E829" s="9">
        <f t="shared" si="49"/>
        <v>550000</v>
      </c>
      <c r="G829">
        <v>6136.6924039429923</v>
      </c>
      <c r="H829" s="9">
        <f t="shared" si="51"/>
        <v>300000</v>
      </c>
      <c r="I829" s="9">
        <f t="shared" si="50"/>
        <v>-70431.531723990513</v>
      </c>
    </row>
    <row r="830" spans="3:9" x14ac:dyDescent="0.35">
      <c r="C830">
        <v>14606.89107943968</v>
      </c>
      <c r="D830" s="9">
        <f t="shared" si="48"/>
        <v>300000</v>
      </c>
      <c r="E830" s="9">
        <f t="shared" si="49"/>
        <v>522482.37556077761</v>
      </c>
      <c r="G830">
        <v>3342.2650837733086</v>
      </c>
      <c r="H830" s="9">
        <f t="shared" si="51"/>
        <v>167113.25418866542</v>
      </c>
      <c r="I830" s="9">
        <f t="shared" si="50"/>
        <v>-266041.4441358684</v>
      </c>
    </row>
    <row r="831" spans="3:9" x14ac:dyDescent="0.35">
      <c r="C831">
        <v>14600.78737754448</v>
      </c>
      <c r="D831" s="9">
        <f t="shared" si="48"/>
        <v>300000</v>
      </c>
      <c r="E831" s="9">
        <f t="shared" si="49"/>
        <v>522055.11642811366</v>
      </c>
      <c r="G831">
        <v>7205.1454206976532</v>
      </c>
      <c r="H831" s="9">
        <f t="shared" si="51"/>
        <v>300000</v>
      </c>
      <c r="I831" s="9">
        <f t="shared" si="50"/>
        <v>4360.1794488357264</v>
      </c>
    </row>
    <row r="832" spans="3:9" x14ac:dyDescent="0.35">
      <c r="C832">
        <v>16096.957304605243</v>
      </c>
      <c r="D832" s="9">
        <f t="shared" si="48"/>
        <v>300000</v>
      </c>
      <c r="E832" s="9">
        <f t="shared" si="49"/>
        <v>550000</v>
      </c>
      <c r="G832">
        <v>5220.5267494735563</v>
      </c>
      <c r="H832" s="9">
        <f t="shared" si="51"/>
        <v>261026.33747367782</v>
      </c>
      <c r="I832" s="9">
        <f t="shared" si="50"/>
        <v>-134563.12753685104</v>
      </c>
    </row>
    <row r="833" spans="3:9" x14ac:dyDescent="0.35">
      <c r="C833">
        <v>16020.05066072573</v>
      </c>
      <c r="D833" s="9">
        <f t="shared" si="48"/>
        <v>300000</v>
      </c>
      <c r="E833" s="9">
        <f t="shared" si="49"/>
        <v>550000</v>
      </c>
      <c r="G833">
        <v>6735.3129673146759</v>
      </c>
      <c r="H833" s="9">
        <f t="shared" si="51"/>
        <v>300000</v>
      </c>
      <c r="I833" s="9">
        <f t="shared" si="50"/>
        <v>-28528.092287972686</v>
      </c>
    </row>
    <row r="834" spans="3:9" x14ac:dyDescent="0.35">
      <c r="C834">
        <v>13980.803857539599</v>
      </c>
      <c r="D834" s="9">
        <f t="shared" si="48"/>
        <v>300000</v>
      </c>
      <c r="E834" s="9">
        <f t="shared" si="49"/>
        <v>478656.27002777194</v>
      </c>
      <c r="G834">
        <v>4889.7061067537461</v>
      </c>
      <c r="H834" s="9">
        <f t="shared" si="51"/>
        <v>244485.30533768731</v>
      </c>
      <c r="I834" s="9">
        <f t="shared" si="50"/>
        <v>-157720.57252723776</v>
      </c>
    </row>
    <row r="835" spans="3:9" x14ac:dyDescent="0.35">
      <c r="C835">
        <v>16514.908291879023</v>
      </c>
      <c r="D835" s="9">
        <f t="shared" si="48"/>
        <v>300000</v>
      </c>
      <c r="E835" s="9">
        <f t="shared" si="49"/>
        <v>550000</v>
      </c>
      <c r="G835">
        <v>6683.8892788476214</v>
      </c>
      <c r="H835" s="9">
        <f t="shared" si="51"/>
        <v>300000</v>
      </c>
      <c r="I835" s="9">
        <f t="shared" si="50"/>
        <v>-32127.750480666524</v>
      </c>
    </row>
    <row r="836" spans="3:9" x14ac:dyDescent="0.35">
      <c r="C836">
        <v>13343.119602038636</v>
      </c>
      <c r="D836" s="9">
        <f t="shared" si="48"/>
        <v>300000</v>
      </c>
      <c r="E836" s="9">
        <f t="shared" si="49"/>
        <v>434018.37214270455</v>
      </c>
      <c r="G836">
        <v>6970.4580828272346</v>
      </c>
      <c r="H836" s="9">
        <f t="shared" si="51"/>
        <v>300000</v>
      </c>
      <c r="I836" s="9">
        <f t="shared" si="50"/>
        <v>-12067.934202093573</v>
      </c>
    </row>
    <row r="837" spans="3:9" x14ac:dyDescent="0.35">
      <c r="C837">
        <v>16029.51139866329</v>
      </c>
      <c r="D837" s="9">
        <f t="shared" si="48"/>
        <v>300000</v>
      </c>
      <c r="E837" s="9">
        <f t="shared" si="49"/>
        <v>550000</v>
      </c>
      <c r="G837">
        <v>3281.9910275582142</v>
      </c>
      <c r="H837" s="9">
        <f t="shared" si="51"/>
        <v>164099.55137791071</v>
      </c>
      <c r="I837" s="9">
        <f t="shared" si="50"/>
        <v>-270260.62807092501</v>
      </c>
    </row>
    <row r="838" spans="3:9" x14ac:dyDescent="0.35">
      <c r="C838">
        <v>16569.078646198919</v>
      </c>
      <c r="D838" s="9">
        <f t="shared" si="48"/>
        <v>300000</v>
      </c>
      <c r="E838" s="9">
        <f t="shared" si="49"/>
        <v>550000</v>
      </c>
      <c r="G838">
        <v>7801.324503311258</v>
      </c>
      <c r="H838" s="9">
        <f t="shared" si="51"/>
        <v>300000</v>
      </c>
      <c r="I838" s="9">
        <f t="shared" si="50"/>
        <v>46092.715231788112</v>
      </c>
    </row>
    <row r="839" spans="3:9" x14ac:dyDescent="0.35">
      <c r="C839">
        <v>12316.324350718711</v>
      </c>
      <c r="D839" s="9">
        <f t="shared" si="48"/>
        <v>300000</v>
      </c>
      <c r="E839" s="9">
        <f t="shared" si="49"/>
        <v>362142.70455030981</v>
      </c>
      <c r="G839">
        <v>6475.9056367687008</v>
      </c>
      <c r="H839" s="9">
        <f t="shared" si="51"/>
        <v>300000</v>
      </c>
      <c r="I839" s="9">
        <f t="shared" si="50"/>
        <v>-46686.605426190945</v>
      </c>
    </row>
    <row r="840" spans="3:9" x14ac:dyDescent="0.35">
      <c r="C840">
        <v>15991.821039460432</v>
      </c>
      <c r="D840" s="9">
        <f t="shared" si="48"/>
        <v>300000</v>
      </c>
      <c r="E840" s="9">
        <f t="shared" si="49"/>
        <v>550000</v>
      </c>
      <c r="G840">
        <v>3468.9168980986969</v>
      </c>
      <c r="H840" s="9">
        <f t="shared" si="51"/>
        <v>173445.84490493484</v>
      </c>
      <c r="I840" s="9">
        <f t="shared" si="50"/>
        <v>-257175.81713309122</v>
      </c>
    </row>
    <row r="841" spans="3:9" x14ac:dyDescent="0.35">
      <c r="C841">
        <v>15668.477431562242</v>
      </c>
      <c r="D841" s="9">
        <f t="shared" si="48"/>
        <v>300000</v>
      </c>
      <c r="E841" s="9">
        <f t="shared" si="49"/>
        <v>550000</v>
      </c>
      <c r="G841">
        <v>6795.5870235297707</v>
      </c>
      <c r="H841" s="9">
        <f t="shared" si="51"/>
        <v>300000</v>
      </c>
      <c r="I841" s="9">
        <f t="shared" si="50"/>
        <v>-24308.908352916071</v>
      </c>
    </row>
    <row r="842" spans="3:9" x14ac:dyDescent="0.35">
      <c r="C842">
        <v>16665.974913785212</v>
      </c>
      <c r="D842" s="9">
        <f t="shared" si="48"/>
        <v>300000</v>
      </c>
      <c r="E842" s="9">
        <f t="shared" si="49"/>
        <v>550000</v>
      </c>
      <c r="G842">
        <v>6328.1960509048731</v>
      </c>
      <c r="H842" s="9">
        <f t="shared" si="51"/>
        <v>300000</v>
      </c>
      <c r="I842" s="9">
        <f t="shared" si="50"/>
        <v>-57026.276436658867</v>
      </c>
    </row>
    <row r="843" spans="3:9" x14ac:dyDescent="0.35">
      <c r="C843">
        <v>14681.661427655872</v>
      </c>
      <c r="D843" s="9">
        <f t="shared" si="48"/>
        <v>300000</v>
      </c>
      <c r="E843" s="9">
        <f t="shared" si="49"/>
        <v>527716.29993591108</v>
      </c>
      <c r="G843">
        <v>4406.1403241065709</v>
      </c>
      <c r="H843" s="9">
        <f t="shared" si="51"/>
        <v>220307.01620532855</v>
      </c>
      <c r="I843" s="9">
        <f t="shared" si="50"/>
        <v>-191570.17731254001</v>
      </c>
    </row>
    <row r="844" spans="3:9" x14ac:dyDescent="0.35">
      <c r="C844">
        <v>16837.031159398175</v>
      </c>
      <c r="D844" s="9">
        <f t="shared" ref="D844:D907" si="52">50*MIN(C844,6000)</f>
        <v>300000</v>
      </c>
      <c r="E844" s="9">
        <f t="shared" ref="E844:E907" si="53">70*MIN(C844,15000)-500000</f>
        <v>550000</v>
      </c>
      <c r="G844">
        <v>7006.7751091036716</v>
      </c>
      <c r="H844" s="9">
        <f t="shared" si="51"/>
        <v>300000</v>
      </c>
      <c r="I844" s="9">
        <f t="shared" ref="I844:I907" si="54">70*MIN(G844,15000)-500000</f>
        <v>-9525.7423627430107</v>
      </c>
    </row>
    <row r="845" spans="3:9" x14ac:dyDescent="0.35">
      <c r="C845">
        <v>16585.406048768578</v>
      </c>
      <c r="D845" s="9">
        <f t="shared" si="52"/>
        <v>300000</v>
      </c>
      <c r="E845" s="9">
        <f t="shared" si="53"/>
        <v>550000</v>
      </c>
      <c r="G845">
        <v>5612.6895962401195</v>
      </c>
      <c r="H845" s="9">
        <f t="shared" ref="H845:H908" si="55">50*MIN(G845,6000)</f>
        <v>280634.479812006</v>
      </c>
      <c r="I845" s="9">
        <f t="shared" si="54"/>
        <v>-107111.72826319165</v>
      </c>
    </row>
    <row r="846" spans="3:9" x14ac:dyDescent="0.35">
      <c r="C846">
        <v>16731.437116611225</v>
      </c>
      <c r="D846" s="9">
        <f t="shared" si="52"/>
        <v>300000</v>
      </c>
      <c r="E846" s="9">
        <f t="shared" si="53"/>
        <v>550000</v>
      </c>
      <c r="G846">
        <v>7337.2905667287205</v>
      </c>
      <c r="H846" s="9">
        <f t="shared" si="55"/>
        <v>300000</v>
      </c>
      <c r="I846" s="9">
        <f t="shared" si="54"/>
        <v>13610.339671010443</v>
      </c>
    </row>
    <row r="847" spans="3:9" x14ac:dyDescent="0.35">
      <c r="C847">
        <v>16516.281624805444</v>
      </c>
      <c r="D847" s="9">
        <f t="shared" si="52"/>
        <v>300000</v>
      </c>
      <c r="E847" s="9">
        <f t="shared" si="53"/>
        <v>550000</v>
      </c>
      <c r="G847">
        <v>6742.027039399396</v>
      </c>
      <c r="H847" s="9">
        <f t="shared" si="55"/>
        <v>300000</v>
      </c>
      <c r="I847" s="9">
        <f t="shared" si="54"/>
        <v>-28058.107242042257</v>
      </c>
    </row>
    <row r="848" spans="3:9" x14ac:dyDescent="0.35">
      <c r="C848">
        <v>13804.712057863095</v>
      </c>
      <c r="D848" s="9">
        <f t="shared" si="52"/>
        <v>300000</v>
      </c>
      <c r="E848" s="9">
        <f t="shared" si="53"/>
        <v>466329.84405041661</v>
      </c>
      <c r="G848">
        <v>5678.1517990661341</v>
      </c>
      <c r="H848" s="9">
        <f t="shared" si="55"/>
        <v>283907.58995330671</v>
      </c>
      <c r="I848" s="9">
        <f t="shared" si="54"/>
        <v>-102529.37406537059</v>
      </c>
    </row>
    <row r="849" spans="3:9" x14ac:dyDescent="0.35">
      <c r="C849">
        <v>12573.442793053988</v>
      </c>
      <c r="D849" s="9">
        <f t="shared" si="52"/>
        <v>300000</v>
      </c>
      <c r="E849" s="9">
        <f t="shared" si="53"/>
        <v>380140.99551377911</v>
      </c>
      <c r="G849">
        <v>7259.4683675649285</v>
      </c>
      <c r="H849" s="9">
        <f t="shared" si="55"/>
        <v>300000</v>
      </c>
      <c r="I849" s="9">
        <f t="shared" si="54"/>
        <v>8162.785729544994</v>
      </c>
    </row>
    <row r="850" spans="3:9" x14ac:dyDescent="0.35">
      <c r="C850">
        <v>15172.246467482528</v>
      </c>
      <c r="D850" s="9">
        <f t="shared" si="52"/>
        <v>300000</v>
      </c>
      <c r="E850" s="9">
        <f t="shared" si="53"/>
        <v>550000</v>
      </c>
      <c r="G850">
        <v>5323.2215338602864</v>
      </c>
      <c r="H850" s="9">
        <f t="shared" si="55"/>
        <v>266161.0766930143</v>
      </c>
      <c r="I850" s="9">
        <f t="shared" si="54"/>
        <v>-127374.49262977997</v>
      </c>
    </row>
    <row r="851" spans="3:9" x14ac:dyDescent="0.35">
      <c r="C851">
        <v>15736.686300241096</v>
      </c>
      <c r="D851" s="9">
        <f t="shared" si="52"/>
        <v>300000</v>
      </c>
      <c r="E851" s="9">
        <f t="shared" si="53"/>
        <v>550000</v>
      </c>
      <c r="G851">
        <v>6280.4345835749382</v>
      </c>
      <c r="H851" s="9">
        <f t="shared" si="55"/>
        <v>300000</v>
      </c>
      <c r="I851" s="9">
        <f t="shared" si="54"/>
        <v>-60369.57914975431</v>
      </c>
    </row>
    <row r="852" spans="3:9" x14ac:dyDescent="0.35">
      <c r="C852">
        <v>16234.443189794611</v>
      </c>
      <c r="D852" s="9">
        <f t="shared" si="52"/>
        <v>300000</v>
      </c>
      <c r="E852" s="9">
        <f t="shared" si="53"/>
        <v>550000</v>
      </c>
      <c r="G852">
        <v>4746.8794824060797</v>
      </c>
      <c r="H852" s="9">
        <f t="shared" si="55"/>
        <v>237343.97412030399</v>
      </c>
      <c r="I852" s="9">
        <f t="shared" si="54"/>
        <v>-167718.43623157445</v>
      </c>
    </row>
    <row r="853" spans="3:9" x14ac:dyDescent="0.35">
      <c r="C853">
        <v>13849.879451887569</v>
      </c>
      <c r="D853" s="9">
        <f t="shared" si="52"/>
        <v>300000</v>
      </c>
      <c r="E853" s="9">
        <f t="shared" si="53"/>
        <v>469491.56163212983</v>
      </c>
      <c r="G853">
        <v>7479.6594134342477</v>
      </c>
      <c r="H853" s="9">
        <f t="shared" si="55"/>
        <v>300000</v>
      </c>
      <c r="I853" s="9">
        <f t="shared" si="54"/>
        <v>23576.158940397319</v>
      </c>
    </row>
    <row r="854" spans="3:9" x14ac:dyDescent="0.35">
      <c r="C854">
        <v>14133.854182561725</v>
      </c>
      <c r="D854" s="9">
        <f t="shared" si="52"/>
        <v>300000</v>
      </c>
      <c r="E854" s="9">
        <f t="shared" si="53"/>
        <v>489369.79277932073</v>
      </c>
      <c r="G854">
        <v>5947.6302377391894</v>
      </c>
      <c r="H854" s="9">
        <f t="shared" si="55"/>
        <v>297381.51188695949</v>
      </c>
      <c r="I854" s="9">
        <f t="shared" si="54"/>
        <v>-83665.883358256717</v>
      </c>
    </row>
    <row r="855" spans="3:9" x14ac:dyDescent="0.35">
      <c r="C855">
        <v>15021.332438123722</v>
      </c>
      <c r="D855" s="9">
        <f t="shared" si="52"/>
        <v>300000</v>
      </c>
      <c r="E855" s="9">
        <f t="shared" si="53"/>
        <v>550000</v>
      </c>
      <c r="G855">
        <v>4858.2720419934685</v>
      </c>
      <c r="H855" s="9">
        <f t="shared" si="55"/>
        <v>242913.60209967342</v>
      </c>
      <c r="I855" s="9">
        <f t="shared" si="54"/>
        <v>-159920.95706045721</v>
      </c>
    </row>
    <row r="856" spans="3:9" x14ac:dyDescent="0.35">
      <c r="C856">
        <v>16249.24466689047</v>
      </c>
      <c r="D856" s="9">
        <f t="shared" si="52"/>
        <v>300000</v>
      </c>
      <c r="E856" s="9">
        <f t="shared" si="53"/>
        <v>550000</v>
      </c>
      <c r="G856">
        <v>4740.3180028687402</v>
      </c>
      <c r="H856" s="9">
        <f t="shared" si="55"/>
        <v>237015.900143437</v>
      </c>
      <c r="I856" s="9">
        <f t="shared" si="54"/>
        <v>-168177.73979918816</v>
      </c>
    </row>
    <row r="857" spans="3:9" x14ac:dyDescent="0.35">
      <c r="C857">
        <v>16068.575090792565</v>
      </c>
      <c r="D857" s="9">
        <f t="shared" si="52"/>
        <v>300000</v>
      </c>
      <c r="E857" s="9">
        <f t="shared" si="53"/>
        <v>550000</v>
      </c>
      <c r="G857">
        <v>4078.524124881741</v>
      </c>
      <c r="H857" s="9">
        <f t="shared" si="55"/>
        <v>203926.20624408705</v>
      </c>
      <c r="I857" s="9">
        <f t="shared" si="54"/>
        <v>-214503.31125827815</v>
      </c>
    </row>
    <row r="858" spans="3:9" x14ac:dyDescent="0.35">
      <c r="C858">
        <v>13081.423383281961</v>
      </c>
      <c r="D858" s="9">
        <f t="shared" si="52"/>
        <v>300000</v>
      </c>
      <c r="E858" s="9">
        <f t="shared" si="53"/>
        <v>415699.63682973722</v>
      </c>
      <c r="G858">
        <v>5133.0912198248243</v>
      </c>
      <c r="H858" s="9">
        <f t="shared" si="55"/>
        <v>256654.56099124122</v>
      </c>
      <c r="I858" s="9">
        <f t="shared" si="54"/>
        <v>-140683.61461226229</v>
      </c>
    </row>
    <row r="859" spans="3:9" x14ac:dyDescent="0.35">
      <c r="C859">
        <v>14189.397869808039</v>
      </c>
      <c r="D859" s="9">
        <f t="shared" si="52"/>
        <v>300000</v>
      </c>
      <c r="E859" s="9">
        <f t="shared" si="53"/>
        <v>493257.85088656272</v>
      </c>
      <c r="G859">
        <v>4192.3581652272105</v>
      </c>
      <c r="H859" s="9">
        <f t="shared" si="55"/>
        <v>209617.90826136051</v>
      </c>
      <c r="I859" s="9">
        <f t="shared" si="54"/>
        <v>-206534.92843409529</v>
      </c>
    </row>
    <row r="860" spans="3:9" x14ac:dyDescent="0.35">
      <c r="C860">
        <v>12245.368816187018</v>
      </c>
      <c r="D860" s="9">
        <f t="shared" si="52"/>
        <v>300000</v>
      </c>
      <c r="E860" s="9">
        <f t="shared" si="53"/>
        <v>357175.81713309127</v>
      </c>
      <c r="G860">
        <v>4552.7817621387367</v>
      </c>
      <c r="H860" s="9">
        <f t="shared" si="55"/>
        <v>227639.08810693683</v>
      </c>
      <c r="I860" s="9">
        <f t="shared" si="54"/>
        <v>-181305.27665028843</v>
      </c>
    </row>
    <row r="861" spans="3:9" x14ac:dyDescent="0.35">
      <c r="C861">
        <v>12978.270821253091</v>
      </c>
      <c r="D861" s="9">
        <f t="shared" si="52"/>
        <v>300000</v>
      </c>
      <c r="E861" s="9">
        <f t="shared" si="53"/>
        <v>408478.95748771634</v>
      </c>
      <c r="G861">
        <v>5737.0525223548084</v>
      </c>
      <c r="H861" s="9">
        <f t="shared" si="55"/>
        <v>286852.62611774041</v>
      </c>
      <c r="I861" s="9">
        <f t="shared" si="54"/>
        <v>-98406.323435163416</v>
      </c>
    </row>
    <row r="862" spans="3:9" x14ac:dyDescent="0.35">
      <c r="C862">
        <v>16455.244605853448</v>
      </c>
      <c r="D862" s="9">
        <f t="shared" si="52"/>
        <v>300000</v>
      </c>
      <c r="E862" s="9">
        <f t="shared" si="53"/>
        <v>550000</v>
      </c>
      <c r="G862">
        <v>3246.1317789239174</v>
      </c>
      <c r="H862" s="9">
        <f t="shared" si="55"/>
        <v>162306.58894619587</v>
      </c>
      <c r="I862" s="9">
        <f t="shared" si="54"/>
        <v>-272770.77547532576</v>
      </c>
    </row>
    <row r="863" spans="3:9" x14ac:dyDescent="0.35">
      <c r="C863">
        <v>15362.68196661275</v>
      </c>
      <c r="D863" s="9">
        <f t="shared" si="52"/>
        <v>300000</v>
      </c>
      <c r="E863" s="9">
        <f t="shared" si="53"/>
        <v>550000</v>
      </c>
      <c r="G863">
        <v>6456.9841608935822</v>
      </c>
      <c r="H863" s="9">
        <f t="shared" si="55"/>
        <v>300000</v>
      </c>
      <c r="I863" s="9">
        <f t="shared" si="54"/>
        <v>-48011.108737449278</v>
      </c>
    </row>
    <row r="864" spans="3:9" x14ac:dyDescent="0.35">
      <c r="C864">
        <v>14032.685323648793</v>
      </c>
      <c r="D864" s="9">
        <f t="shared" si="52"/>
        <v>300000</v>
      </c>
      <c r="E864" s="9">
        <f t="shared" si="53"/>
        <v>482287.97265541553</v>
      </c>
      <c r="G864">
        <v>5340.6170842616048</v>
      </c>
      <c r="H864" s="9">
        <f t="shared" si="55"/>
        <v>267030.85421308025</v>
      </c>
      <c r="I864" s="9">
        <f t="shared" si="54"/>
        <v>-126156.80410168768</v>
      </c>
    </row>
    <row r="865" spans="3:9" x14ac:dyDescent="0.35">
      <c r="C865">
        <v>14127.903073213904</v>
      </c>
      <c r="D865" s="9">
        <f t="shared" si="52"/>
        <v>300000</v>
      </c>
      <c r="E865" s="9">
        <f t="shared" si="53"/>
        <v>488953.21512497321</v>
      </c>
      <c r="G865">
        <v>3452.1317178868985</v>
      </c>
      <c r="H865" s="9">
        <f t="shared" si="55"/>
        <v>172606.58589434493</v>
      </c>
      <c r="I865" s="9">
        <f t="shared" si="54"/>
        <v>-258350.77974791711</v>
      </c>
    </row>
    <row r="866" spans="3:9" x14ac:dyDescent="0.35">
      <c r="C866">
        <v>16177.678762169257</v>
      </c>
      <c r="D866" s="9">
        <f t="shared" si="52"/>
        <v>300000</v>
      </c>
      <c r="E866" s="9">
        <f t="shared" si="53"/>
        <v>550000</v>
      </c>
      <c r="G866">
        <v>6399.4567705313275</v>
      </c>
      <c r="H866" s="9">
        <f t="shared" si="55"/>
        <v>300000</v>
      </c>
      <c r="I866" s="9">
        <f t="shared" si="54"/>
        <v>-52038.026062807068</v>
      </c>
    </row>
    <row r="867" spans="3:9" x14ac:dyDescent="0.35">
      <c r="C867">
        <v>13566.057313760795</v>
      </c>
      <c r="D867" s="9">
        <f t="shared" si="52"/>
        <v>300000</v>
      </c>
      <c r="E867" s="9">
        <f t="shared" si="53"/>
        <v>449624.0119632557</v>
      </c>
      <c r="G867">
        <v>3502.1820734275339</v>
      </c>
      <c r="H867" s="9">
        <f t="shared" si="55"/>
        <v>175109.10367137668</v>
      </c>
      <c r="I867" s="9">
        <f t="shared" si="54"/>
        <v>-254847.25486007263</v>
      </c>
    </row>
    <row r="868" spans="3:9" x14ac:dyDescent="0.35">
      <c r="C868">
        <v>16654.835657826472</v>
      </c>
      <c r="D868" s="9">
        <f t="shared" si="52"/>
        <v>300000</v>
      </c>
      <c r="E868" s="9">
        <f t="shared" si="53"/>
        <v>550000</v>
      </c>
      <c r="G868">
        <v>3488.1435590685751</v>
      </c>
      <c r="H868" s="9">
        <f t="shared" si="55"/>
        <v>174407.17795342876</v>
      </c>
      <c r="I868" s="9">
        <f t="shared" si="54"/>
        <v>-255829.95086519973</v>
      </c>
    </row>
    <row r="869" spans="3:9" x14ac:dyDescent="0.35">
      <c r="C869">
        <v>16526.963103122042</v>
      </c>
      <c r="D869" s="9">
        <f t="shared" si="52"/>
        <v>300000</v>
      </c>
      <c r="E869" s="9">
        <f t="shared" si="53"/>
        <v>550000</v>
      </c>
      <c r="G869">
        <v>4761.6809595019377</v>
      </c>
      <c r="H869" s="9">
        <f t="shared" si="55"/>
        <v>238084.04797509688</v>
      </c>
      <c r="I869" s="9">
        <f t="shared" si="54"/>
        <v>-166682.33283486438</v>
      </c>
    </row>
    <row r="870" spans="3:9" x14ac:dyDescent="0.35">
      <c r="C870">
        <v>12296.945097201453</v>
      </c>
      <c r="D870" s="9">
        <f t="shared" si="52"/>
        <v>300000</v>
      </c>
      <c r="E870" s="9">
        <f t="shared" si="53"/>
        <v>360786.15680410166</v>
      </c>
      <c r="G870">
        <v>4403.3936582537308</v>
      </c>
      <c r="H870" s="9">
        <f t="shared" si="55"/>
        <v>220169.68291268655</v>
      </c>
      <c r="I870" s="9">
        <f t="shared" si="54"/>
        <v>-191762.44392223883</v>
      </c>
    </row>
    <row r="871" spans="3:9" x14ac:dyDescent="0.35">
      <c r="C871">
        <v>12925.626392406995</v>
      </c>
      <c r="D871" s="9">
        <f t="shared" si="52"/>
        <v>300000</v>
      </c>
      <c r="E871" s="9">
        <f t="shared" si="53"/>
        <v>404793.84746848966</v>
      </c>
      <c r="G871">
        <v>6123.5694448683125</v>
      </c>
      <c r="H871" s="9">
        <f t="shared" si="55"/>
        <v>300000</v>
      </c>
      <c r="I871" s="9">
        <f t="shared" si="54"/>
        <v>-71350.138859218103</v>
      </c>
    </row>
    <row r="872" spans="3:9" x14ac:dyDescent="0.35">
      <c r="C872">
        <v>12424.207281716361</v>
      </c>
      <c r="D872" s="9">
        <f t="shared" si="52"/>
        <v>300000</v>
      </c>
      <c r="E872" s="9">
        <f t="shared" si="53"/>
        <v>369694.50972014526</v>
      </c>
      <c r="G872">
        <v>3429.0902432325206</v>
      </c>
      <c r="H872" s="9">
        <f t="shared" si="55"/>
        <v>171454.51216162604</v>
      </c>
      <c r="I872" s="9">
        <f t="shared" si="54"/>
        <v>-259963.68297372357</v>
      </c>
    </row>
    <row r="873" spans="3:9" x14ac:dyDescent="0.35">
      <c r="C873">
        <v>16667.50083925901</v>
      </c>
      <c r="D873" s="9">
        <f t="shared" si="52"/>
        <v>300000</v>
      </c>
      <c r="E873" s="9">
        <f t="shared" si="53"/>
        <v>550000</v>
      </c>
      <c r="G873">
        <v>3408.0324716940822</v>
      </c>
      <c r="H873" s="9">
        <f t="shared" si="55"/>
        <v>170401.62358470412</v>
      </c>
      <c r="I873" s="9">
        <f t="shared" si="54"/>
        <v>-261437.72698141425</v>
      </c>
    </row>
    <row r="874" spans="3:9" x14ac:dyDescent="0.35">
      <c r="C874">
        <v>12545.518356883449</v>
      </c>
      <c r="D874" s="9">
        <f t="shared" si="52"/>
        <v>300000</v>
      </c>
      <c r="E874" s="9">
        <f t="shared" si="53"/>
        <v>378186.28498184145</v>
      </c>
      <c r="G874">
        <v>7401.0742515335551</v>
      </c>
      <c r="H874" s="9">
        <f t="shared" si="55"/>
        <v>300000</v>
      </c>
      <c r="I874" s="9">
        <f t="shared" si="54"/>
        <v>18075.197607348848</v>
      </c>
    </row>
    <row r="875" spans="3:9" x14ac:dyDescent="0.35">
      <c r="C875">
        <v>16116.64174321726</v>
      </c>
      <c r="D875" s="9">
        <f t="shared" si="52"/>
        <v>300000</v>
      </c>
      <c r="E875" s="9">
        <f t="shared" si="53"/>
        <v>550000</v>
      </c>
      <c r="G875">
        <v>7283.7305825983458</v>
      </c>
      <c r="H875" s="9">
        <f t="shared" si="55"/>
        <v>300000</v>
      </c>
      <c r="I875" s="9">
        <f t="shared" si="54"/>
        <v>9861.1407818841981</v>
      </c>
    </row>
    <row r="876" spans="3:9" x14ac:dyDescent="0.35">
      <c r="C876">
        <v>13200.750755333109</v>
      </c>
      <c r="D876" s="9">
        <f t="shared" si="52"/>
        <v>300000</v>
      </c>
      <c r="E876" s="9">
        <f t="shared" si="53"/>
        <v>424052.55287331762</v>
      </c>
      <c r="G876">
        <v>3601.8250068666648</v>
      </c>
      <c r="H876" s="9">
        <f t="shared" si="55"/>
        <v>180091.25034333323</v>
      </c>
      <c r="I876" s="9">
        <f t="shared" si="54"/>
        <v>-247872.24951933348</v>
      </c>
    </row>
    <row r="877" spans="3:9" x14ac:dyDescent="0.35">
      <c r="C877">
        <v>16814.905240028078</v>
      </c>
      <c r="D877" s="9">
        <f t="shared" si="52"/>
        <v>300000</v>
      </c>
      <c r="E877" s="9">
        <f t="shared" si="53"/>
        <v>550000</v>
      </c>
      <c r="G877">
        <v>4597.3387859736931</v>
      </c>
      <c r="H877" s="9">
        <f t="shared" si="55"/>
        <v>229866.93929868465</v>
      </c>
      <c r="I877" s="9">
        <f t="shared" si="54"/>
        <v>-178186.28498184145</v>
      </c>
    </row>
    <row r="878" spans="3:9" x14ac:dyDescent="0.35">
      <c r="C878">
        <v>14095.248268074587</v>
      </c>
      <c r="D878" s="9">
        <f t="shared" si="52"/>
        <v>300000</v>
      </c>
      <c r="E878" s="9">
        <f t="shared" si="53"/>
        <v>486667.3787652211</v>
      </c>
      <c r="G878">
        <v>5713.7058626056705</v>
      </c>
      <c r="H878" s="9">
        <f t="shared" si="55"/>
        <v>285685.29313028353</v>
      </c>
      <c r="I878" s="9">
        <f t="shared" si="54"/>
        <v>-100040.58961760305</v>
      </c>
    </row>
    <row r="879" spans="3:9" x14ac:dyDescent="0.35">
      <c r="C879">
        <v>12220.3436384167</v>
      </c>
      <c r="D879" s="9">
        <f t="shared" si="52"/>
        <v>300000</v>
      </c>
      <c r="E879" s="9">
        <f t="shared" si="53"/>
        <v>355424.05468916893</v>
      </c>
      <c r="G879">
        <v>5697.9888302255313</v>
      </c>
      <c r="H879" s="9">
        <f t="shared" si="55"/>
        <v>284899.44151127659</v>
      </c>
      <c r="I879" s="9">
        <f t="shared" si="54"/>
        <v>-101140.7818842128</v>
      </c>
    </row>
    <row r="880" spans="3:9" x14ac:dyDescent="0.35">
      <c r="C880">
        <v>12445.2650532548</v>
      </c>
      <c r="D880" s="9">
        <f t="shared" si="52"/>
        <v>300000</v>
      </c>
      <c r="E880" s="9">
        <f t="shared" si="53"/>
        <v>371168.553727836</v>
      </c>
      <c r="G880">
        <v>6319.4982757042144</v>
      </c>
      <c r="H880" s="9">
        <f t="shared" si="55"/>
        <v>300000</v>
      </c>
      <c r="I880" s="9">
        <f t="shared" si="54"/>
        <v>-57635.120700704982</v>
      </c>
    </row>
    <row r="881" spans="3:9" x14ac:dyDescent="0.35">
      <c r="C881">
        <v>16970.244453260901</v>
      </c>
      <c r="D881" s="9">
        <f t="shared" si="52"/>
        <v>300000</v>
      </c>
      <c r="E881" s="9">
        <f t="shared" si="53"/>
        <v>550000</v>
      </c>
      <c r="G881">
        <v>3510.879848628193</v>
      </c>
      <c r="H881" s="9">
        <f t="shared" si="55"/>
        <v>175543.99243140966</v>
      </c>
      <c r="I881" s="9">
        <f t="shared" si="54"/>
        <v>-254238.41059602649</v>
      </c>
    </row>
    <row r="882" spans="3:9" x14ac:dyDescent="0.35">
      <c r="C882">
        <v>13292.764061403241</v>
      </c>
      <c r="D882" s="9">
        <f t="shared" si="52"/>
        <v>300000</v>
      </c>
      <c r="E882" s="9">
        <f t="shared" si="53"/>
        <v>430493.48429822689</v>
      </c>
      <c r="G882">
        <v>4932.889797662282</v>
      </c>
      <c r="H882" s="9">
        <f t="shared" si="55"/>
        <v>246644.48988311409</v>
      </c>
      <c r="I882" s="9">
        <f t="shared" si="54"/>
        <v>-154697.71416364028</v>
      </c>
    </row>
    <row r="883" spans="3:9" x14ac:dyDescent="0.35">
      <c r="C883">
        <v>15646.809289834284</v>
      </c>
      <c r="D883" s="9">
        <f t="shared" si="52"/>
        <v>300000</v>
      </c>
      <c r="E883" s="9">
        <f t="shared" si="53"/>
        <v>550000</v>
      </c>
      <c r="G883">
        <v>3686.3612781151769</v>
      </c>
      <c r="H883" s="9">
        <f t="shared" si="55"/>
        <v>184318.06390575884</v>
      </c>
      <c r="I883" s="9">
        <f t="shared" si="54"/>
        <v>-241954.71053193763</v>
      </c>
    </row>
    <row r="884" spans="3:9" x14ac:dyDescent="0.35">
      <c r="C884">
        <v>14079.836420789208</v>
      </c>
      <c r="D884" s="9">
        <f t="shared" si="52"/>
        <v>300000</v>
      </c>
      <c r="E884" s="9">
        <f t="shared" si="53"/>
        <v>485588.54945524456</v>
      </c>
      <c r="G884">
        <v>4839.3505661183508</v>
      </c>
      <c r="H884" s="9">
        <f t="shared" si="55"/>
        <v>241967.52830591754</v>
      </c>
      <c r="I884" s="9">
        <f t="shared" si="54"/>
        <v>-161245.46037171542</v>
      </c>
    </row>
    <row r="885" spans="3:9" x14ac:dyDescent="0.35">
      <c r="C885">
        <v>16414.197210608232</v>
      </c>
      <c r="D885" s="9">
        <f t="shared" si="52"/>
        <v>300000</v>
      </c>
      <c r="E885" s="9">
        <f t="shared" si="53"/>
        <v>550000</v>
      </c>
      <c r="G885">
        <v>7224.5246742149111</v>
      </c>
      <c r="H885" s="9">
        <f t="shared" si="55"/>
        <v>300000</v>
      </c>
      <c r="I885" s="9">
        <f t="shared" si="54"/>
        <v>5716.7271950437571</v>
      </c>
    </row>
    <row r="886" spans="3:9" x14ac:dyDescent="0.35">
      <c r="C886">
        <v>16653.920102542193</v>
      </c>
      <c r="D886" s="9">
        <f t="shared" si="52"/>
        <v>300000</v>
      </c>
      <c r="E886" s="9">
        <f t="shared" si="53"/>
        <v>550000</v>
      </c>
      <c r="G886">
        <v>5786.4925077059233</v>
      </c>
      <c r="H886" s="9">
        <f t="shared" si="55"/>
        <v>289324.62538529618</v>
      </c>
      <c r="I886" s="9">
        <f t="shared" si="54"/>
        <v>-94945.52446058538</v>
      </c>
    </row>
    <row r="887" spans="3:9" x14ac:dyDescent="0.35">
      <c r="C887">
        <v>16275.185399945067</v>
      </c>
      <c r="D887" s="9">
        <f t="shared" si="52"/>
        <v>300000</v>
      </c>
      <c r="E887" s="9">
        <f t="shared" si="53"/>
        <v>550000</v>
      </c>
      <c r="G887">
        <v>5699.5147556993315</v>
      </c>
      <c r="H887" s="9">
        <f t="shared" si="55"/>
        <v>284975.73778496659</v>
      </c>
      <c r="I887" s="9">
        <f t="shared" si="54"/>
        <v>-101033.96710104682</v>
      </c>
    </row>
    <row r="888" spans="3:9" x14ac:dyDescent="0.35">
      <c r="C888">
        <v>12686.513870662557</v>
      </c>
      <c r="D888" s="9">
        <f t="shared" si="52"/>
        <v>300000</v>
      </c>
      <c r="E888" s="9">
        <f t="shared" si="53"/>
        <v>388055.97094637901</v>
      </c>
      <c r="G888">
        <v>3409.8635822626425</v>
      </c>
      <c r="H888" s="9">
        <f t="shared" si="55"/>
        <v>170493.17911313212</v>
      </c>
      <c r="I888" s="9">
        <f t="shared" si="54"/>
        <v>-261309.54924161502</v>
      </c>
    </row>
    <row r="889" spans="3:9" x14ac:dyDescent="0.35">
      <c r="C889">
        <v>16237.342448194831</v>
      </c>
      <c r="D889" s="9">
        <f t="shared" si="52"/>
        <v>300000</v>
      </c>
      <c r="E889" s="9">
        <f t="shared" si="53"/>
        <v>550000</v>
      </c>
      <c r="G889">
        <v>7693.1363872188476</v>
      </c>
      <c r="H889" s="9">
        <f t="shared" si="55"/>
        <v>300000</v>
      </c>
      <c r="I889" s="9">
        <f t="shared" si="54"/>
        <v>38519.547105319332</v>
      </c>
    </row>
    <row r="890" spans="3:9" x14ac:dyDescent="0.35">
      <c r="C890">
        <v>13897.946104312265</v>
      </c>
      <c r="D890" s="9">
        <f t="shared" si="52"/>
        <v>300000</v>
      </c>
      <c r="E890" s="9">
        <f t="shared" si="53"/>
        <v>472856.22730185848</v>
      </c>
      <c r="G890">
        <v>5810.7547227393416</v>
      </c>
      <c r="H890" s="9">
        <f t="shared" si="55"/>
        <v>290537.73613696708</v>
      </c>
      <c r="I890" s="9">
        <f t="shared" si="54"/>
        <v>-93247.169408246118</v>
      </c>
    </row>
    <row r="891" spans="3:9" x14ac:dyDescent="0.35">
      <c r="C891">
        <v>13474.806970427564</v>
      </c>
      <c r="D891" s="9">
        <f t="shared" si="52"/>
        <v>300000</v>
      </c>
      <c r="E891" s="9">
        <f t="shared" si="53"/>
        <v>443236.48792992951</v>
      </c>
      <c r="G891">
        <v>6424.6345408490251</v>
      </c>
      <c r="H891" s="9">
        <f t="shared" si="55"/>
        <v>300000</v>
      </c>
      <c r="I891" s="9">
        <f t="shared" si="54"/>
        <v>-50275.582140568236</v>
      </c>
    </row>
    <row r="892" spans="3:9" x14ac:dyDescent="0.35">
      <c r="C892">
        <v>12074.617755668813</v>
      </c>
      <c r="D892" s="9">
        <f t="shared" si="52"/>
        <v>300000</v>
      </c>
      <c r="E892" s="9">
        <f t="shared" si="53"/>
        <v>345223.24289681693</v>
      </c>
      <c r="G892">
        <v>3577.1050141911069</v>
      </c>
      <c r="H892" s="9">
        <f t="shared" si="55"/>
        <v>178855.25070955534</v>
      </c>
      <c r="I892" s="9">
        <f t="shared" si="54"/>
        <v>-249602.64900662252</v>
      </c>
    </row>
    <row r="893" spans="3:9" x14ac:dyDescent="0.35">
      <c r="C893">
        <v>16761.955626087223</v>
      </c>
      <c r="D893" s="9">
        <f t="shared" si="52"/>
        <v>300000</v>
      </c>
      <c r="E893" s="9">
        <f t="shared" si="53"/>
        <v>550000</v>
      </c>
      <c r="G893">
        <v>5954.8020874660479</v>
      </c>
      <c r="H893" s="9">
        <f t="shared" si="55"/>
        <v>297740.10437330237</v>
      </c>
      <c r="I893" s="9">
        <f t="shared" si="54"/>
        <v>-83163.853877376649</v>
      </c>
    </row>
    <row r="894" spans="3:9" x14ac:dyDescent="0.35">
      <c r="C894">
        <v>16306.466872157964</v>
      </c>
      <c r="D894" s="9">
        <f t="shared" si="52"/>
        <v>300000</v>
      </c>
      <c r="E894" s="9">
        <f t="shared" si="53"/>
        <v>550000</v>
      </c>
      <c r="G894">
        <v>7362.4683370464181</v>
      </c>
      <c r="H894" s="9">
        <f t="shared" si="55"/>
        <v>300000</v>
      </c>
      <c r="I894" s="9">
        <f t="shared" si="54"/>
        <v>15372.783593249274</v>
      </c>
    </row>
    <row r="895" spans="3:9" x14ac:dyDescent="0.35">
      <c r="C895">
        <v>14156.590472121341</v>
      </c>
      <c r="D895" s="9">
        <f t="shared" si="52"/>
        <v>300000</v>
      </c>
      <c r="E895" s="9">
        <f t="shared" si="53"/>
        <v>490961.33304849383</v>
      </c>
      <c r="G895">
        <v>4878.1090731528675</v>
      </c>
      <c r="H895" s="9">
        <f t="shared" si="55"/>
        <v>243905.45365764337</v>
      </c>
      <c r="I895" s="9">
        <f t="shared" si="54"/>
        <v>-158532.3648792993</v>
      </c>
    </row>
    <row r="896" spans="3:9" x14ac:dyDescent="0.35">
      <c r="C896">
        <v>16748.832667012543</v>
      </c>
      <c r="D896" s="9">
        <f t="shared" si="52"/>
        <v>300000</v>
      </c>
      <c r="E896" s="9">
        <f t="shared" si="53"/>
        <v>550000</v>
      </c>
      <c r="G896">
        <v>7532.6090273751033</v>
      </c>
      <c r="H896" s="9">
        <f t="shared" si="55"/>
        <v>300000</v>
      </c>
      <c r="I896" s="9">
        <f t="shared" si="54"/>
        <v>27282.631916257204</v>
      </c>
    </row>
    <row r="897" spans="3:9" x14ac:dyDescent="0.35">
      <c r="C897">
        <v>16263.893551438949</v>
      </c>
      <c r="D897" s="9">
        <f t="shared" si="52"/>
        <v>300000</v>
      </c>
      <c r="E897" s="9">
        <f t="shared" si="53"/>
        <v>550000</v>
      </c>
      <c r="G897">
        <v>5212.7445295571761</v>
      </c>
      <c r="H897" s="9">
        <f t="shared" si="55"/>
        <v>260637.22647785881</v>
      </c>
      <c r="I897" s="9">
        <f t="shared" si="54"/>
        <v>-135107.8829309977</v>
      </c>
    </row>
    <row r="898" spans="3:9" x14ac:dyDescent="0.35">
      <c r="C898">
        <v>16182.866908780175</v>
      </c>
      <c r="D898" s="9">
        <f t="shared" si="52"/>
        <v>300000</v>
      </c>
      <c r="E898" s="9">
        <f t="shared" si="53"/>
        <v>550000</v>
      </c>
      <c r="G898">
        <v>3998.4130375072482</v>
      </c>
      <c r="H898" s="9">
        <f t="shared" si="55"/>
        <v>199920.65187536241</v>
      </c>
      <c r="I898" s="9">
        <f t="shared" si="54"/>
        <v>-220111.08737449261</v>
      </c>
    </row>
    <row r="899" spans="3:9" x14ac:dyDescent="0.35">
      <c r="C899">
        <v>12514.389477217932</v>
      </c>
      <c r="D899" s="9">
        <f t="shared" si="52"/>
        <v>300000</v>
      </c>
      <c r="E899" s="9">
        <f t="shared" si="53"/>
        <v>376007.26340525527</v>
      </c>
      <c r="G899">
        <v>3390.4843287453841</v>
      </c>
      <c r="H899" s="9">
        <f t="shared" si="55"/>
        <v>169524.21643726921</v>
      </c>
      <c r="I899" s="9">
        <f t="shared" si="54"/>
        <v>-262666.09698782314</v>
      </c>
    </row>
    <row r="900" spans="3:9" x14ac:dyDescent="0.35">
      <c r="C900">
        <v>13308.17590868862</v>
      </c>
      <c r="D900" s="9">
        <f t="shared" si="52"/>
        <v>300000</v>
      </c>
      <c r="E900" s="9">
        <f t="shared" si="53"/>
        <v>431572.31360820332</v>
      </c>
      <c r="G900">
        <v>6783.3796197393722</v>
      </c>
      <c r="H900" s="9">
        <f t="shared" si="55"/>
        <v>300000</v>
      </c>
      <c r="I900" s="9">
        <f t="shared" si="54"/>
        <v>-25163.426618243975</v>
      </c>
    </row>
    <row r="901" spans="3:9" x14ac:dyDescent="0.35">
      <c r="C901">
        <v>14898.800622577593</v>
      </c>
      <c r="D901" s="9">
        <f t="shared" si="52"/>
        <v>300000</v>
      </c>
      <c r="E901" s="9">
        <f t="shared" si="53"/>
        <v>542916.04358043149</v>
      </c>
      <c r="G901">
        <v>7950.5600146488841</v>
      </c>
      <c r="H901" s="9">
        <f t="shared" si="55"/>
        <v>300000</v>
      </c>
      <c r="I901" s="9">
        <f t="shared" si="54"/>
        <v>56539.201025421848</v>
      </c>
    </row>
    <row r="902" spans="3:9" x14ac:dyDescent="0.35">
      <c r="C902">
        <v>15699.911496322518</v>
      </c>
      <c r="D902" s="9">
        <f t="shared" si="52"/>
        <v>300000</v>
      </c>
      <c r="E902" s="9">
        <f t="shared" si="53"/>
        <v>550000</v>
      </c>
      <c r="G902">
        <v>4755.5772576067384</v>
      </c>
      <c r="H902" s="9">
        <f t="shared" si="55"/>
        <v>237778.86288033691</v>
      </c>
      <c r="I902" s="9">
        <f t="shared" si="54"/>
        <v>-167109.59196752834</v>
      </c>
    </row>
    <row r="903" spans="3:9" x14ac:dyDescent="0.35">
      <c r="C903">
        <v>16614.093447676016</v>
      </c>
      <c r="D903" s="9">
        <f t="shared" si="52"/>
        <v>300000</v>
      </c>
      <c r="E903" s="9">
        <f t="shared" si="53"/>
        <v>550000</v>
      </c>
      <c r="G903">
        <v>7890.2859584337903</v>
      </c>
      <c r="H903" s="9">
        <f t="shared" si="55"/>
        <v>300000</v>
      </c>
      <c r="I903" s="9">
        <f t="shared" si="54"/>
        <v>52320.017090365291</v>
      </c>
    </row>
    <row r="904" spans="3:9" x14ac:dyDescent="0.35">
      <c r="C904">
        <v>16309.518723105564</v>
      </c>
      <c r="D904" s="9">
        <f t="shared" si="52"/>
        <v>300000</v>
      </c>
      <c r="E904" s="9">
        <f t="shared" si="53"/>
        <v>550000</v>
      </c>
      <c r="G904">
        <v>6925.4432813501389</v>
      </c>
      <c r="H904" s="9">
        <f t="shared" si="55"/>
        <v>300000</v>
      </c>
      <c r="I904" s="9">
        <f t="shared" si="54"/>
        <v>-15218.970305490249</v>
      </c>
    </row>
    <row r="905" spans="3:9" x14ac:dyDescent="0.35">
      <c r="C905">
        <v>15239.692373424481</v>
      </c>
      <c r="D905" s="9">
        <f t="shared" si="52"/>
        <v>300000</v>
      </c>
      <c r="E905" s="9">
        <f t="shared" si="53"/>
        <v>550000</v>
      </c>
      <c r="G905">
        <v>4735.2824488052001</v>
      </c>
      <c r="H905" s="9">
        <f t="shared" si="55"/>
        <v>236764.12244026002</v>
      </c>
      <c r="I905" s="9">
        <f t="shared" si="54"/>
        <v>-168530.228583636</v>
      </c>
    </row>
    <row r="906" spans="3:9" x14ac:dyDescent="0.35">
      <c r="C906">
        <v>15910.33661915952</v>
      </c>
      <c r="D906" s="9">
        <f t="shared" si="52"/>
        <v>300000</v>
      </c>
      <c r="E906" s="9">
        <f t="shared" si="53"/>
        <v>550000</v>
      </c>
      <c r="G906">
        <v>3363.4754478591267</v>
      </c>
      <c r="H906" s="9">
        <f t="shared" si="55"/>
        <v>168173.77239295634</v>
      </c>
      <c r="I906" s="9">
        <f t="shared" si="54"/>
        <v>-264556.71864986117</v>
      </c>
    </row>
    <row r="907" spans="3:9" x14ac:dyDescent="0.35">
      <c r="C907">
        <v>14480.849635303812</v>
      </c>
      <c r="D907" s="9">
        <f t="shared" si="52"/>
        <v>300000</v>
      </c>
      <c r="E907" s="9">
        <f t="shared" si="53"/>
        <v>513659.47447126685</v>
      </c>
      <c r="G907">
        <v>3392.3154393139439</v>
      </c>
      <c r="H907" s="9">
        <f t="shared" si="55"/>
        <v>169615.7719656972</v>
      </c>
      <c r="I907" s="9">
        <f t="shared" si="54"/>
        <v>-262537.91924802389</v>
      </c>
    </row>
    <row r="908" spans="3:9" x14ac:dyDescent="0.35">
      <c r="C908">
        <v>15623.004852443006</v>
      </c>
      <c r="D908" s="9">
        <f t="shared" ref="D908:D971" si="56">50*MIN(C908,6000)</f>
        <v>300000</v>
      </c>
      <c r="E908" s="9">
        <f t="shared" ref="E908:E971" si="57">70*MIN(C908,15000)-500000</f>
        <v>550000</v>
      </c>
      <c r="G908">
        <v>6802.4536881618706</v>
      </c>
      <c r="H908" s="9">
        <f t="shared" si="55"/>
        <v>300000</v>
      </c>
      <c r="I908" s="9">
        <f t="shared" ref="I908:I971" si="58">70*MIN(G908,15000)-500000</f>
        <v>-23828.241828669037</v>
      </c>
    </row>
    <row r="909" spans="3:9" x14ac:dyDescent="0.35">
      <c r="C909">
        <v>13332.438123722037</v>
      </c>
      <c r="D909" s="9">
        <f t="shared" si="56"/>
        <v>300000</v>
      </c>
      <c r="E909" s="9">
        <f t="shared" si="57"/>
        <v>433270.66866054258</v>
      </c>
      <c r="G909">
        <v>4869.1061128574474</v>
      </c>
      <c r="H909" s="9">
        <f t="shared" ref="H909:H972" si="59">50*MIN(G909,6000)</f>
        <v>243455.30564287238</v>
      </c>
      <c r="I909" s="9">
        <f t="shared" si="58"/>
        <v>-159162.57209997869</v>
      </c>
    </row>
    <row r="910" spans="3:9" x14ac:dyDescent="0.35">
      <c r="C910">
        <v>14206.183050019838</v>
      </c>
      <c r="D910" s="9">
        <f t="shared" si="56"/>
        <v>300000</v>
      </c>
      <c r="E910" s="9">
        <f t="shared" si="57"/>
        <v>494432.81350138865</v>
      </c>
      <c r="G910">
        <v>6919.0343943601802</v>
      </c>
      <c r="H910" s="9">
        <f t="shared" si="59"/>
        <v>300000</v>
      </c>
      <c r="I910" s="9">
        <f t="shared" si="58"/>
        <v>-15667.592394787411</v>
      </c>
    </row>
    <row r="911" spans="3:9" x14ac:dyDescent="0.35">
      <c r="C911">
        <v>14849.055452131717</v>
      </c>
      <c r="D911" s="9">
        <f t="shared" si="56"/>
        <v>300000</v>
      </c>
      <c r="E911" s="9">
        <f t="shared" si="57"/>
        <v>539433.88164922025</v>
      </c>
      <c r="G911">
        <v>6099.3072298348952</v>
      </c>
      <c r="H911" s="9">
        <f t="shared" si="59"/>
        <v>300000</v>
      </c>
      <c r="I911" s="9">
        <f t="shared" si="58"/>
        <v>-73048.493911557307</v>
      </c>
    </row>
    <row r="912" spans="3:9" x14ac:dyDescent="0.35">
      <c r="C912">
        <v>14814.722128971222</v>
      </c>
      <c r="D912" s="9">
        <f t="shared" si="56"/>
        <v>300000</v>
      </c>
      <c r="E912" s="9">
        <f t="shared" si="57"/>
        <v>537030.54902798554</v>
      </c>
      <c r="G912">
        <v>7829.706717123936</v>
      </c>
      <c r="H912" s="9">
        <f t="shared" si="59"/>
        <v>300000</v>
      </c>
      <c r="I912" s="9">
        <f t="shared" si="58"/>
        <v>48079.470198675524</v>
      </c>
    </row>
    <row r="913" spans="3:9" x14ac:dyDescent="0.35">
      <c r="C913">
        <v>16674.825281533249</v>
      </c>
      <c r="D913" s="9">
        <f t="shared" si="56"/>
        <v>300000</v>
      </c>
      <c r="E913" s="9">
        <f t="shared" si="57"/>
        <v>550000</v>
      </c>
      <c r="G913">
        <v>6540.2996917630535</v>
      </c>
      <c r="H913" s="9">
        <f t="shared" si="59"/>
        <v>300000</v>
      </c>
      <c r="I913" s="9">
        <f t="shared" si="58"/>
        <v>-42179.021576586238</v>
      </c>
    </row>
    <row r="914" spans="3:9" x14ac:dyDescent="0.35">
      <c r="C914">
        <v>16007.080294198431</v>
      </c>
      <c r="D914" s="9">
        <f t="shared" si="56"/>
        <v>300000</v>
      </c>
      <c r="E914" s="9">
        <f t="shared" si="57"/>
        <v>550000</v>
      </c>
      <c r="G914">
        <v>6055.0553910946983</v>
      </c>
      <c r="H914" s="9">
        <f t="shared" si="59"/>
        <v>300000</v>
      </c>
      <c r="I914" s="9">
        <f t="shared" si="58"/>
        <v>-76146.122623371135</v>
      </c>
    </row>
    <row r="915" spans="3:9" x14ac:dyDescent="0.35">
      <c r="C915">
        <v>15223.059785760062</v>
      </c>
      <c r="D915" s="9">
        <f t="shared" si="56"/>
        <v>300000</v>
      </c>
      <c r="E915" s="9">
        <f t="shared" si="57"/>
        <v>550000</v>
      </c>
      <c r="G915">
        <v>6018.1279946287432</v>
      </c>
      <c r="H915" s="9">
        <f t="shared" si="59"/>
        <v>300000</v>
      </c>
      <c r="I915" s="9">
        <f t="shared" si="58"/>
        <v>-78731.040375987999</v>
      </c>
    </row>
    <row r="916" spans="3:9" x14ac:dyDescent="0.35">
      <c r="C916">
        <v>12584.734641560106</v>
      </c>
      <c r="D916" s="9">
        <f t="shared" si="56"/>
        <v>300000</v>
      </c>
      <c r="E916" s="9">
        <f t="shared" si="57"/>
        <v>380931.42490920739</v>
      </c>
      <c r="G916">
        <v>6765.9840693380538</v>
      </c>
      <c r="H916" s="9">
        <f t="shared" si="59"/>
        <v>300000</v>
      </c>
      <c r="I916" s="9">
        <f t="shared" si="58"/>
        <v>-26381.115146336262</v>
      </c>
    </row>
    <row r="917" spans="3:9" x14ac:dyDescent="0.35">
      <c r="C917">
        <v>13025.574510940885</v>
      </c>
      <c r="D917" s="9">
        <f t="shared" si="56"/>
        <v>300000</v>
      </c>
      <c r="E917" s="9">
        <f t="shared" si="57"/>
        <v>411790.21576586203</v>
      </c>
      <c r="G917">
        <v>6633.2285531174657</v>
      </c>
      <c r="H917" s="9">
        <f t="shared" si="59"/>
        <v>300000</v>
      </c>
      <c r="I917" s="9">
        <f t="shared" si="58"/>
        <v>-35674.001281777397</v>
      </c>
    </row>
    <row r="918" spans="3:9" x14ac:dyDescent="0.35">
      <c r="C918">
        <v>13956.23645741142</v>
      </c>
      <c r="D918" s="9">
        <f t="shared" si="56"/>
        <v>300000</v>
      </c>
      <c r="E918" s="9">
        <f t="shared" si="57"/>
        <v>476936.55201879935</v>
      </c>
      <c r="G918">
        <v>6136.0820337534715</v>
      </c>
      <c r="H918" s="9">
        <f t="shared" si="59"/>
        <v>300000</v>
      </c>
      <c r="I918" s="9">
        <f t="shared" si="58"/>
        <v>-70474.257637256989</v>
      </c>
    </row>
    <row r="919" spans="3:9" x14ac:dyDescent="0.35">
      <c r="C919">
        <v>12410.321359904783</v>
      </c>
      <c r="D919" s="9">
        <f t="shared" si="56"/>
        <v>300000</v>
      </c>
      <c r="E919" s="9">
        <f t="shared" si="57"/>
        <v>368722.49519333476</v>
      </c>
      <c r="G919">
        <v>6501.9989623706779</v>
      </c>
      <c r="H919" s="9">
        <f t="shared" si="59"/>
        <v>300000</v>
      </c>
      <c r="I919" s="9">
        <f t="shared" si="58"/>
        <v>-44860.072634052543</v>
      </c>
    </row>
    <row r="920" spans="3:9" x14ac:dyDescent="0.35">
      <c r="C920">
        <v>16794.763023773918</v>
      </c>
      <c r="D920" s="9">
        <f t="shared" si="56"/>
        <v>300000</v>
      </c>
      <c r="E920" s="9">
        <f t="shared" si="57"/>
        <v>550000</v>
      </c>
      <c r="G920">
        <v>7713.1260109256264</v>
      </c>
      <c r="H920" s="9">
        <f t="shared" si="59"/>
        <v>300000</v>
      </c>
      <c r="I920" s="9">
        <f t="shared" si="58"/>
        <v>39918.820764793898</v>
      </c>
    </row>
    <row r="921" spans="3:9" x14ac:dyDescent="0.35">
      <c r="C921">
        <v>16450.666829432052</v>
      </c>
      <c r="D921" s="9">
        <f t="shared" si="56"/>
        <v>300000</v>
      </c>
      <c r="E921" s="9">
        <f t="shared" si="57"/>
        <v>550000</v>
      </c>
      <c r="G921">
        <v>7853.8163396099735</v>
      </c>
      <c r="H921" s="9">
        <f t="shared" si="59"/>
        <v>300000</v>
      </c>
      <c r="I921" s="9">
        <f t="shared" si="58"/>
        <v>49767.143772698124</v>
      </c>
    </row>
    <row r="922" spans="3:9" x14ac:dyDescent="0.35">
      <c r="C922">
        <v>15410.748619037447</v>
      </c>
      <c r="D922" s="9">
        <f t="shared" si="56"/>
        <v>300000</v>
      </c>
      <c r="E922" s="9">
        <f t="shared" si="57"/>
        <v>550000</v>
      </c>
      <c r="G922">
        <v>6508.102664265878</v>
      </c>
      <c r="H922" s="9">
        <f t="shared" si="59"/>
        <v>300000</v>
      </c>
      <c r="I922" s="9">
        <f t="shared" si="58"/>
        <v>-44432.813501388533</v>
      </c>
    </row>
    <row r="923" spans="3:9" x14ac:dyDescent="0.35">
      <c r="C923">
        <v>13181.218909268471</v>
      </c>
      <c r="D923" s="9">
        <f t="shared" si="56"/>
        <v>300000</v>
      </c>
      <c r="E923" s="9">
        <f t="shared" si="57"/>
        <v>422685.32364879292</v>
      </c>
      <c r="G923">
        <v>4622.8217413861512</v>
      </c>
      <c r="H923" s="9">
        <f t="shared" si="59"/>
        <v>231141.08706930757</v>
      </c>
      <c r="I923" s="9">
        <f t="shared" si="58"/>
        <v>-176402.47810296941</v>
      </c>
    </row>
    <row r="924" spans="3:9" x14ac:dyDescent="0.35">
      <c r="C924">
        <v>13111.636707663198</v>
      </c>
      <c r="D924" s="9">
        <f t="shared" si="56"/>
        <v>300000</v>
      </c>
      <c r="E924" s="9">
        <f t="shared" si="57"/>
        <v>417814.56953642389</v>
      </c>
      <c r="G924">
        <v>6626.9722586748867</v>
      </c>
      <c r="H924" s="9">
        <f t="shared" si="59"/>
        <v>300000</v>
      </c>
      <c r="I924" s="9">
        <f t="shared" si="58"/>
        <v>-36111.941892757954</v>
      </c>
    </row>
    <row r="925" spans="3:9" x14ac:dyDescent="0.35">
      <c r="C925">
        <v>14509.842219306009</v>
      </c>
      <c r="D925" s="9">
        <f t="shared" si="56"/>
        <v>300000</v>
      </c>
      <c r="E925" s="9">
        <f t="shared" si="57"/>
        <v>515688.95535142056</v>
      </c>
      <c r="G925">
        <v>3324.1065706350901</v>
      </c>
      <c r="H925" s="9">
        <f t="shared" si="59"/>
        <v>166205.32853175449</v>
      </c>
      <c r="I925" s="9">
        <f t="shared" si="58"/>
        <v>-267312.54005554371</v>
      </c>
    </row>
    <row r="926" spans="3:9" x14ac:dyDescent="0.35">
      <c r="C926">
        <v>16500.564592425304</v>
      </c>
      <c r="D926" s="9">
        <f t="shared" si="56"/>
        <v>300000</v>
      </c>
      <c r="E926" s="9">
        <f t="shared" si="57"/>
        <v>550000</v>
      </c>
      <c r="G926">
        <v>7337.9009369182404</v>
      </c>
      <c r="H926" s="9">
        <f t="shared" si="59"/>
        <v>300000</v>
      </c>
      <c r="I926" s="9">
        <f t="shared" si="58"/>
        <v>13653.065584276803</v>
      </c>
    </row>
    <row r="927" spans="3:9" x14ac:dyDescent="0.35">
      <c r="C927">
        <v>15212.530899990845</v>
      </c>
      <c r="D927" s="9">
        <f t="shared" si="56"/>
        <v>300000</v>
      </c>
      <c r="E927" s="9">
        <f t="shared" si="57"/>
        <v>550000</v>
      </c>
      <c r="G927">
        <v>3778.3745841853083</v>
      </c>
      <c r="H927" s="9">
        <f t="shared" si="59"/>
        <v>188918.72920926541</v>
      </c>
      <c r="I927" s="9">
        <f t="shared" si="58"/>
        <v>-235513.77910702844</v>
      </c>
    </row>
    <row r="928" spans="3:9" x14ac:dyDescent="0.35">
      <c r="C928">
        <v>12805.841242713706</v>
      </c>
      <c r="D928" s="9">
        <f t="shared" si="56"/>
        <v>300000</v>
      </c>
      <c r="E928" s="9">
        <f t="shared" si="57"/>
        <v>396408.8869899594</v>
      </c>
      <c r="G928">
        <v>4117.1300393688771</v>
      </c>
      <c r="H928" s="9">
        <f t="shared" si="59"/>
        <v>205856.50196844386</v>
      </c>
      <c r="I928" s="9">
        <f t="shared" si="58"/>
        <v>-211800.89724417863</v>
      </c>
    </row>
    <row r="929" spans="3:9" x14ac:dyDescent="0.35">
      <c r="C929">
        <v>12995.513779107028</v>
      </c>
      <c r="D929" s="9">
        <f t="shared" si="56"/>
        <v>300000</v>
      </c>
      <c r="E929" s="9">
        <f t="shared" si="57"/>
        <v>409685.96453749202</v>
      </c>
      <c r="G929">
        <v>6305.6123538926358</v>
      </c>
      <c r="H929" s="9">
        <f t="shared" si="59"/>
        <v>300000</v>
      </c>
      <c r="I929" s="9">
        <f t="shared" si="58"/>
        <v>-58607.135227515479</v>
      </c>
    </row>
    <row r="930" spans="3:9" x14ac:dyDescent="0.35">
      <c r="C930">
        <v>13543.473616748557</v>
      </c>
      <c r="D930" s="9">
        <f t="shared" si="56"/>
        <v>300000</v>
      </c>
      <c r="E930" s="9">
        <f t="shared" si="57"/>
        <v>448043.15317239903</v>
      </c>
      <c r="G930">
        <v>6071.9931638538774</v>
      </c>
      <c r="H930" s="9">
        <f t="shared" si="59"/>
        <v>300000</v>
      </c>
      <c r="I930" s="9">
        <f t="shared" si="58"/>
        <v>-74960.478530228604</v>
      </c>
    </row>
    <row r="931" spans="3:9" x14ac:dyDescent="0.35">
      <c r="C931">
        <v>15968.626972258675</v>
      </c>
      <c r="D931" s="9">
        <f t="shared" si="56"/>
        <v>300000</v>
      </c>
      <c r="E931" s="9">
        <f t="shared" si="57"/>
        <v>550000</v>
      </c>
      <c r="G931">
        <v>7443.3423871578107</v>
      </c>
      <c r="H931" s="9">
        <f t="shared" si="59"/>
        <v>300000</v>
      </c>
      <c r="I931" s="9">
        <f t="shared" si="58"/>
        <v>21033.967101046757</v>
      </c>
    </row>
    <row r="932" spans="3:9" x14ac:dyDescent="0.35">
      <c r="C932">
        <v>16727.622302926724</v>
      </c>
      <c r="D932" s="9">
        <f t="shared" si="56"/>
        <v>300000</v>
      </c>
      <c r="E932" s="9">
        <f t="shared" si="57"/>
        <v>550000</v>
      </c>
      <c r="G932">
        <v>4820.8868678853723</v>
      </c>
      <c r="H932" s="9">
        <f t="shared" si="59"/>
        <v>241044.34339426862</v>
      </c>
      <c r="I932" s="9">
        <f t="shared" si="58"/>
        <v>-162537.91924802394</v>
      </c>
    </row>
    <row r="933" spans="3:9" x14ac:dyDescent="0.35">
      <c r="C933">
        <v>12123.142185735649</v>
      </c>
      <c r="D933" s="9">
        <f t="shared" si="56"/>
        <v>300000</v>
      </c>
      <c r="E933" s="9">
        <f t="shared" si="57"/>
        <v>348619.95300149545</v>
      </c>
      <c r="G933">
        <v>5202.8260139774775</v>
      </c>
      <c r="H933" s="9">
        <f t="shared" si="59"/>
        <v>260141.30069887388</v>
      </c>
      <c r="I933" s="9">
        <f t="shared" si="58"/>
        <v>-135802.17902157659</v>
      </c>
    </row>
    <row r="934" spans="3:9" x14ac:dyDescent="0.35">
      <c r="C934">
        <v>15094.424268318735</v>
      </c>
      <c r="D934" s="9">
        <f t="shared" si="56"/>
        <v>300000</v>
      </c>
      <c r="E934" s="9">
        <f t="shared" si="57"/>
        <v>550000</v>
      </c>
      <c r="G934">
        <v>3043.6414685506761</v>
      </c>
      <c r="H934" s="9">
        <f t="shared" si="59"/>
        <v>152182.07342753382</v>
      </c>
      <c r="I934" s="9">
        <f t="shared" si="58"/>
        <v>-286945.09720145271</v>
      </c>
    </row>
    <row r="935" spans="3:9" x14ac:dyDescent="0.35">
      <c r="C935">
        <v>14681.203650013733</v>
      </c>
      <c r="D935" s="9">
        <f t="shared" si="56"/>
        <v>300000</v>
      </c>
      <c r="E935" s="9">
        <f t="shared" si="57"/>
        <v>527684.25550096133</v>
      </c>
      <c r="G935">
        <v>5468.3370464186528</v>
      </c>
      <c r="H935" s="9">
        <f t="shared" si="59"/>
        <v>273416.85232093267</v>
      </c>
      <c r="I935" s="9">
        <f t="shared" si="58"/>
        <v>-117216.40675069432</v>
      </c>
    </row>
    <row r="936" spans="3:9" x14ac:dyDescent="0.35">
      <c r="C936">
        <v>14997.375408185064</v>
      </c>
      <c r="D936" s="9">
        <f t="shared" si="56"/>
        <v>300000</v>
      </c>
      <c r="E936" s="9">
        <f t="shared" si="57"/>
        <v>549816.27857295447</v>
      </c>
      <c r="G936">
        <v>4129.4900357066563</v>
      </c>
      <c r="H936" s="9">
        <f t="shared" si="59"/>
        <v>206474.5017853328</v>
      </c>
      <c r="I936" s="9">
        <f t="shared" si="58"/>
        <v>-210935.69750053406</v>
      </c>
    </row>
    <row r="937" spans="3:9" x14ac:dyDescent="0.35">
      <c r="C937">
        <v>15585.619678334911</v>
      </c>
      <c r="D937" s="9">
        <f t="shared" si="56"/>
        <v>300000</v>
      </c>
      <c r="E937" s="9">
        <f t="shared" si="57"/>
        <v>550000</v>
      </c>
      <c r="G937">
        <v>6510.5441450239578</v>
      </c>
      <c r="H937" s="9">
        <f t="shared" si="59"/>
        <v>300000</v>
      </c>
      <c r="I937" s="9">
        <f t="shared" si="58"/>
        <v>-44261.909848322975</v>
      </c>
    </row>
    <row r="938" spans="3:9" x14ac:dyDescent="0.35">
      <c r="C938">
        <v>15409.070101016267</v>
      </c>
      <c r="D938" s="9">
        <f t="shared" si="56"/>
        <v>300000</v>
      </c>
      <c r="E938" s="9">
        <f t="shared" si="57"/>
        <v>550000</v>
      </c>
      <c r="G938">
        <v>3264.9006622516554</v>
      </c>
      <c r="H938" s="9">
        <f t="shared" si="59"/>
        <v>163245.03311258278</v>
      </c>
      <c r="I938" s="9">
        <f t="shared" si="58"/>
        <v>-271456.95364238415</v>
      </c>
    </row>
    <row r="939" spans="3:9" x14ac:dyDescent="0.35">
      <c r="C939">
        <v>15078.096865749078</v>
      </c>
      <c r="D939" s="9">
        <f t="shared" si="56"/>
        <v>300000</v>
      </c>
      <c r="E939" s="9">
        <f t="shared" si="57"/>
        <v>550000</v>
      </c>
      <c r="G939">
        <v>6834.9559007538064</v>
      </c>
      <c r="H939" s="9">
        <f t="shared" si="59"/>
        <v>300000</v>
      </c>
      <c r="I939" s="9">
        <f t="shared" si="58"/>
        <v>-21553.086947233533</v>
      </c>
    </row>
    <row r="940" spans="3:9" x14ac:dyDescent="0.35">
      <c r="C940">
        <v>14441.480758079775</v>
      </c>
      <c r="D940" s="9">
        <f t="shared" si="56"/>
        <v>300000</v>
      </c>
      <c r="E940" s="9">
        <f t="shared" si="57"/>
        <v>510903.65306558425</v>
      </c>
      <c r="G940">
        <v>5550.1266518143257</v>
      </c>
      <c r="H940" s="9">
        <f t="shared" si="59"/>
        <v>277506.33259071631</v>
      </c>
      <c r="I940" s="9">
        <f t="shared" si="58"/>
        <v>-111491.13437299721</v>
      </c>
    </row>
    <row r="941" spans="3:9" x14ac:dyDescent="0.35">
      <c r="C941">
        <v>16373.760185552537</v>
      </c>
      <c r="D941" s="9">
        <f t="shared" si="56"/>
        <v>300000</v>
      </c>
      <c r="E941" s="9">
        <f t="shared" si="57"/>
        <v>550000</v>
      </c>
      <c r="G941">
        <v>5852.7176732688376</v>
      </c>
      <c r="H941" s="9">
        <f t="shared" si="59"/>
        <v>292635.88366344187</v>
      </c>
      <c r="I941" s="9">
        <f t="shared" si="58"/>
        <v>-90309.76287118136</v>
      </c>
    </row>
    <row r="942" spans="3:9" x14ac:dyDescent="0.35">
      <c r="C942">
        <v>12607.623523667104</v>
      </c>
      <c r="D942" s="9">
        <f t="shared" si="56"/>
        <v>300000</v>
      </c>
      <c r="E942" s="9">
        <f t="shared" si="57"/>
        <v>382533.64665669727</v>
      </c>
      <c r="G942">
        <v>3927.7626880703147</v>
      </c>
      <c r="H942" s="9">
        <f t="shared" si="59"/>
        <v>196388.13440351572</v>
      </c>
      <c r="I942" s="9">
        <f t="shared" si="58"/>
        <v>-225056.61183507799</v>
      </c>
    </row>
    <row r="943" spans="3:9" x14ac:dyDescent="0.35">
      <c r="C943">
        <v>14022.461622974333</v>
      </c>
      <c r="D943" s="9">
        <f t="shared" si="56"/>
        <v>300000</v>
      </c>
      <c r="E943" s="9">
        <f t="shared" si="57"/>
        <v>481572.31360820332</v>
      </c>
      <c r="G943">
        <v>5271.4926602984706</v>
      </c>
      <c r="H943" s="9">
        <f t="shared" si="59"/>
        <v>263574.63301492354</v>
      </c>
      <c r="I943" s="9">
        <f t="shared" si="58"/>
        <v>-130995.51377910707</v>
      </c>
    </row>
    <row r="944" spans="3:9" x14ac:dyDescent="0.35">
      <c r="C944">
        <v>13301.461836603899</v>
      </c>
      <c r="D944" s="9">
        <f t="shared" si="56"/>
        <v>300000</v>
      </c>
      <c r="E944" s="9">
        <f t="shared" si="57"/>
        <v>431102.32856227295</v>
      </c>
      <c r="G944">
        <v>4482.5891903439442</v>
      </c>
      <c r="H944" s="9">
        <f t="shared" si="59"/>
        <v>224129.45951719722</v>
      </c>
      <c r="I944" s="9">
        <f t="shared" si="58"/>
        <v>-186218.75667592388</v>
      </c>
    </row>
    <row r="945" spans="3:9" x14ac:dyDescent="0.35">
      <c r="C945">
        <v>15770.714438306833</v>
      </c>
      <c r="D945" s="9">
        <f t="shared" si="56"/>
        <v>300000</v>
      </c>
      <c r="E945" s="9">
        <f t="shared" si="57"/>
        <v>550000</v>
      </c>
      <c r="G945">
        <v>4776.177251503037</v>
      </c>
      <c r="H945" s="9">
        <f t="shared" si="59"/>
        <v>238808.86257515184</v>
      </c>
      <c r="I945" s="9">
        <f t="shared" si="58"/>
        <v>-165667.59239478741</v>
      </c>
    </row>
    <row r="946" spans="3:9" x14ac:dyDescent="0.35">
      <c r="C946">
        <v>12314.951017792291</v>
      </c>
      <c r="D946" s="9">
        <f t="shared" si="56"/>
        <v>300000</v>
      </c>
      <c r="E946" s="9">
        <f t="shared" si="57"/>
        <v>362046.57124546042</v>
      </c>
      <c r="G946">
        <v>4652.7298806726276</v>
      </c>
      <c r="H946" s="9">
        <f t="shared" si="59"/>
        <v>232636.49403363137</v>
      </c>
      <c r="I946" s="9">
        <f t="shared" si="58"/>
        <v>-174308.90835291607</v>
      </c>
    </row>
    <row r="947" spans="3:9" x14ac:dyDescent="0.35">
      <c r="C947">
        <v>13714.987640003663</v>
      </c>
      <c r="D947" s="9">
        <f t="shared" si="56"/>
        <v>300000</v>
      </c>
      <c r="E947" s="9">
        <f t="shared" si="57"/>
        <v>460049.13480025635</v>
      </c>
      <c r="G947">
        <v>6636.1278115176856</v>
      </c>
      <c r="H947" s="9">
        <f t="shared" si="59"/>
        <v>300000</v>
      </c>
      <c r="I947" s="9">
        <f t="shared" si="58"/>
        <v>-35471.053193762025</v>
      </c>
    </row>
    <row r="948" spans="3:9" x14ac:dyDescent="0.35">
      <c r="C948">
        <v>15251.44199957274</v>
      </c>
      <c r="D948" s="9">
        <f t="shared" si="56"/>
        <v>300000</v>
      </c>
      <c r="E948" s="9">
        <f t="shared" si="57"/>
        <v>550000</v>
      </c>
      <c r="G948">
        <v>6694.8759422589801</v>
      </c>
      <c r="H948" s="9">
        <f t="shared" si="59"/>
        <v>300000</v>
      </c>
      <c r="I948" s="9">
        <f t="shared" si="58"/>
        <v>-31358.684041871398</v>
      </c>
    </row>
    <row r="949" spans="3:9" x14ac:dyDescent="0.35">
      <c r="C949">
        <v>14427.747428815577</v>
      </c>
      <c r="D949" s="9">
        <f t="shared" si="56"/>
        <v>300000</v>
      </c>
      <c r="E949" s="9">
        <f t="shared" si="57"/>
        <v>509942.32001709042</v>
      </c>
      <c r="G949">
        <v>3450.7583849604785</v>
      </c>
      <c r="H949" s="9">
        <f t="shared" si="59"/>
        <v>172537.91924802391</v>
      </c>
      <c r="I949" s="9">
        <f t="shared" si="58"/>
        <v>-258446.9130527665</v>
      </c>
    </row>
    <row r="950" spans="3:9" x14ac:dyDescent="0.35">
      <c r="C950">
        <v>15060.853907895138</v>
      </c>
      <c r="D950" s="9">
        <f t="shared" si="56"/>
        <v>300000</v>
      </c>
      <c r="E950" s="9">
        <f t="shared" si="57"/>
        <v>550000</v>
      </c>
      <c r="G950">
        <v>5010.5594042786952</v>
      </c>
      <c r="H950" s="9">
        <f t="shared" si="59"/>
        <v>250527.97021393475</v>
      </c>
      <c r="I950" s="9">
        <f t="shared" si="58"/>
        <v>-149260.84170049132</v>
      </c>
    </row>
    <row r="951" spans="3:9" x14ac:dyDescent="0.35">
      <c r="C951">
        <v>12617.389446699422</v>
      </c>
      <c r="D951" s="9">
        <f t="shared" si="56"/>
        <v>300000</v>
      </c>
      <c r="E951" s="9">
        <f t="shared" si="57"/>
        <v>383217.26126895961</v>
      </c>
      <c r="G951">
        <v>4474.0440076906643</v>
      </c>
      <c r="H951" s="9">
        <f t="shared" si="59"/>
        <v>223702.20038453321</v>
      </c>
      <c r="I951" s="9">
        <f t="shared" si="58"/>
        <v>-186816.91946165351</v>
      </c>
    </row>
    <row r="952" spans="3:9" x14ac:dyDescent="0.35">
      <c r="C952">
        <v>12251.319925534837</v>
      </c>
      <c r="D952" s="9">
        <f t="shared" si="56"/>
        <v>300000</v>
      </c>
      <c r="E952" s="9">
        <f t="shared" si="57"/>
        <v>357592.39478743856</v>
      </c>
      <c r="G952">
        <v>7275.3379924924466</v>
      </c>
      <c r="H952" s="9">
        <f t="shared" si="59"/>
        <v>300000</v>
      </c>
      <c r="I952" s="9">
        <f t="shared" si="58"/>
        <v>9273.6594744712347</v>
      </c>
    </row>
    <row r="953" spans="3:9" x14ac:dyDescent="0.35">
      <c r="C953">
        <v>16924.771874141668</v>
      </c>
      <c r="D953" s="9">
        <f t="shared" si="56"/>
        <v>300000</v>
      </c>
      <c r="E953" s="9">
        <f t="shared" si="57"/>
        <v>550000</v>
      </c>
      <c r="G953">
        <v>6934.9040192876982</v>
      </c>
      <c r="H953" s="9">
        <f t="shared" si="59"/>
        <v>300000</v>
      </c>
      <c r="I953" s="9">
        <f t="shared" si="58"/>
        <v>-14556.718649861112</v>
      </c>
    </row>
    <row r="954" spans="3:9" x14ac:dyDescent="0.35">
      <c r="C954">
        <v>13221.503341776788</v>
      </c>
      <c r="D954" s="9">
        <f t="shared" si="56"/>
        <v>300000</v>
      </c>
      <c r="E954" s="9">
        <f t="shared" si="57"/>
        <v>425505.23392437515</v>
      </c>
      <c r="G954">
        <v>6352.3056733909116</v>
      </c>
      <c r="H954" s="9">
        <f t="shared" si="59"/>
        <v>300000</v>
      </c>
      <c r="I954" s="9">
        <f t="shared" si="58"/>
        <v>-55338.602862636209</v>
      </c>
    </row>
    <row r="955" spans="3:9" x14ac:dyDescent="0.35">
      <c r="C955">
        <v>12753.196813867611</v>
      </c>
      <c r="D955" s="9">
        <f t="shared" si="56"/>
        <v>300000</v>
      </c>
      <c r="E955" s="9">
        <f t="shared" si="57"/>
        <v>392723.77697073272</v>
      </c>
      <c r="G955">
        <v>7655.7512131107515</v>
      </c>
      <c r="H955" s="9">
        <f t="shared" si="59"/>
        <v>300000</v>
      </c>
      <c r="I955" s="9">
        <f t="shared" si="58"/>
        <v>35902.584917752654</v>
      </c>
    </row>
    <row r="956" spans="3:9" x14ac:dyDescent="0.35">
      <c r="C956">
        <v>13272.774437696462</v>
      </c>
      <c r="D956" s="9">
        <f t="shared" si="56"/>
        <v>300000</v>
      </c>
      <c r="E956" s="9">
        <f t="shared" si="57"/>
        <v>429094.21063875232</v>
      </c>
      <c r="G956">
        <v>3346.9954527420882</v>
      </c>
      <c r="H956" s="9">
        <f t="shared" si="59"/>
        <v>167349.77263710441</v>
      </c>
      <c r="I956" s="9">
        <f t="shared" si="58"/>
        <v>-265710.31830805383</v>
      </c>
    </row>
    <row r="957" spans="3:9" x14ac:dyDescent="0.35">
      <c r="C957">
        <v>13723.532822656942</v>
      </c>
      <c r="D957" s="9">
        <f t="shared" si="56"/>
        <v>300000</v>
      </c>
      <c r="E957" s="9">
        <f t="shared" si="57"/>
        <v>460647.29758598597</v>
      </c>
      <c r="G957">
        <v>5161.1682485427409</v>
      </c>
      <c r="H957" s="9">
        <f t="shared" si="59"/>
        <v>258058.41242713705</v>
      </c>
      <c r="I957" s="9">
        <f t="shared" si="58"/>
        <v>-138718.22260200814</v>
      </c>
    </row>
    <row r="958" spans="3:9" x14ac:dyDescent="0.35">
      <c r="C958">
        <v>15784.142582476272</v>
      </c>
      <c r="D958" s="9">
        <f t="shared" si="56"/>
        <v>300000</v>
      </c>
      <c r="E958" s="9">
        <f t="shared" si="57"/>
        <v>550000</v>
      </c>
      <c r="G958">
        <v>7475.5394146549879</v>
      </c>
      <c r="H958" s="9">
        <f t="shared" si="59"/>
        <v>300000</v>
      </c>
      <c r="I958" s="9">
        <f t="shared" si="58"/>
        <v>23287.759025849169</v>
      </c>
    </row>
    <row r="959" spans="3:9" x14ac:dyDescent="0.35">
      <c r="C959">
        <v>13541.337321085239</v>
      </c>
      <c r="D959" s="9">
        <f t="shared" si="56"/>
        <v>300000</v>
      </c>
      <c r="E959" s="9">
        <f t="shared" si="57"/>
        <v>447893.61247596669</v>
      </c>
      <c r="G959">
        <v>6499.099703970458</v>
      </c>
      <c r="H959" s="9">
        <f t="shared" si="59"/>
        <v>300000</v>
      </c>
      <c r="I959" s="9">
        <f t="shared" si="58"/>
        <v>-45063.020722067915</v>
      </c>
    </row>
    <row r="960" spans="3:9" x14ac:dyDescent="0.35">
      <c r="C960">
        <v>13421.39957884457</v>
      </c>
      <c r="D960" s="9">
        <f t="shared" si="56"/>
        <v>300000</v>
      </c>
      <c r="E960" s="9">
        <f t="shared" si="57"/>
        <v>439497.97051911987</v>
      </c>
      <c r="G960">
        <v>6321.0242011780147</v>
      </c>
      <c r="H960" s="9">
        <f t="shared" si="59"/>
        <v>300000</v>
      </c>
      <c r="I960" s="9">
        <f t="shared" si="58"/>
        <v>-57528.305917538994</v>
      </c>
    </row>
    <row r="961" spans="3:9" x14ac:dyDescent="0.35">
      <c r="C961">
        <v>16921.872615741449</v>
      </c>
      <c r="D961" s="9">
        <f t="shared" si="56"/>
        <v>300000</v>
      </c>
      <c r="E961" s="9">
        <f t="shared" si="57"/>
        <v>550000</v>
      </c>
      <c r="G961">
        <v>4299.9359111301001</v>
      </c>
      <c r="H961" s="9">
        <f t="shared" si="59"/>
        <v>214996.79555650501</v>
      </c>
      <c r="I961" s="9">
        <f t="shared" si="58"/>
        <v>-199004.48622089298</v>
      </c>
    </row>
    <row r="962" spans="3:9" x14ac:dyDescent="0.35">
      <c r="C962">
        <v>16713.278603473005</v>
      </c>
      <c r="D962" s="9">
        <f t="shared" si="56"/>
        <v>300000</v>
      </c>
      <c r="E962" s="9">
        <f t="shared" si="57"/>
        <v>550000</v>
      </c>
      <c r="G962">
        <v>6161.1072115237894</v>
      </c>
      <c r="H962" s="9">
        <f t="shared" si="59"/>
        <v>300000</v>
      </c>
      <c r="I962" s="9">
        <f t="shared" si="58"/>
        <v>-68722.495193334762</v>
      </c>
    </row>
    <row r="963" spans="3:9" x14ac:dyDescent="0.35">
      <c r="C963">
        <v>14818.384350108341</v>
      </c>
      <c r="D963" s="9">
        <f t="shared" si="56"/>
        <v>300000</v>
      </c>
      <c r="E963" s="9">
        <f t="shared" si="57"/>
        <v>537286.90450758382</v>
      </c>
      <c r="G963">
        <v>6286.9960631122776</v>
      </c>
      <c r="H963" s="9">
        <f t="shared" si="59"/>
        <v>300000</v>
      </c>
      <c r="I963" s="9">
        <f t="shared" si="58"/>
        <v>-59910.275582140544</v>
      </c>
    </row>
    <row r="964" spans="3:9" x14ac:dyDescent="0.35">
      <c r="C964">
        <v>15493.301187170018</v>
      </c>
      <c r="D964" s="9">
        <f t="shared" si="56"/>
        <v>300000</v>
      </c>
      <c r="E964" s="9">
        <f t="shared" si="57"/>
        <v>550000</v>
      </c>
      <c r="G964">
        <v>6972.2891933957944</v>
      </c>
      <c r="H964" s="9">
        <f t="shared" si="59"/>
        <v>300000</v>
      </c>
      <c r="I964" s="9">
        <f t="shared" si="58"/>
        <v>-11939.756462294376</v>
      </c>
    </row>
    <row r="965" spans="3:9" x14ac:dyDescent="0.35">
      <c r="C965">
        <v>13709.036530655843</v>
      </c>
      <c r="D965" s="9">
        <f t="shared" si="56"/>
        <v>300000</v>
      </c>
      <c r="E965" s="9">
        <f t="shared" si="57"/>
        <v>459632.55714590906</v>
      </c>
      <c r="G965">
        <v>4654.8661763359478</v>
      </c>
      <c r="H965" s="9">
        <f t="shared" si="59"/>
        <v>232743.30881679739</v>
      </c>
      <c r="I965" s="9">
        <f t="shared" si="58"/>
        <v>-174159.36765648366</v>
      </c>
    </row>
    <row r="966" spans="3:9" x14ac:dyDescent="0.35">
      <c r="C966">
        <v>15203.222754600665</v>
      </c>
      <c r="D966" s="9">
        <f t="shared" si="56"/>
        <v>300000</v>
      </c>
      <c r="E966" s="9">
        <f t="shared" si="57"/>
        <v>550000</v>
      </c>
      <c r="G966">
        <v>6109.8361156041137</v>
      </c>
      <c r="H966" s="9">
        <f t="shared" si="59"/>
        <v>300000</v>
      </c>
      <c r="I966" s="9">
        <f t="shared" si="58"/>
        <v>-72311.471907712054</v>
      </c>
    </row>
    <row r="967" spans="3:9" x14ac:dyDescent="0.35">
      <c r="C967">
        <v>14208.624530777917</v>
      </c>
      <c r="D967" s="9">
        <f t="shared" si="56"/>
        <v>300000</v>
      </c>
      <c r="E967" s="9">
        <f t="shared" si="57"/>
        <v>494603.71715445421</v>
      </c>
      <c r="G967">
        <v>4581.7743461409345</v>
      </c>
      <c r="H967" s="9">
        <f t="shared" si="59"/>
        <v>229088.71730704673</v>
      </c>
      <c r="I967" s="9">
        <f t="shared" si="58"/>
        <v>-179275.7957701346</v>
      </c>
    </row>
    <row r="968" spans="3:9" x14ac:dyDescent="0.35">
      <c r="C968">
        <v>13494.033631397442</v>
      </c>
      <c r="D968" s="9">
        <f t="shared" si="56"/>
        <v>300000</v>
      </c>
      <c r="E968" s="9">
        <f t="shared" si="57"/>
        <v>444582.354197821</v>
      </c>
      <c r="G968">
        <v>4120.1818903164767</v>
      </c>
      <c r="H968" s="9">
        <f t="shared" si="59"/>
        <v>206009.09451582385</v>
      </c>
      <c r="I968" s="9">
        <f t="shared" si="58"/>
        <v>-211587.26767784666</v>
      </c>
    </row>
    <row r="969" spans="3:9" x14ac:dyDescent="0.35">
      <c r="C969">
        <v>13937.009796441542</v>
      </c>
      <c r="D969" s="9">
        <f t="shared" si="56"/>
        <v>300000</v>
      </c>
      <c r="E969" s="9">
        <f t="shared" si="57"/>
        <v>475590.68575090787</v>
      </c>
      <c r="G969">
        <v>7748.8326670125434</v>
      </c>
      <c r="H969" s="9">
        <f t="shared" si="59"/>
        <v>300000</v>
      </c>
      <c r="I969" s="9">
        <f t="shared" si="58"/>
        <v>42418.286690877983</v>
      </c>
    </row>
    <row r="970" spans="3:9" x14ac:dyDescent="0.35">
      <c r="C970">
        <v>13596.575823236793</v>
      </c>
      <c r="D970" s="9">
        <f t="shared" si="56"/>
        <v>300000</v>
      </c>
      <c r="E970" s="9">
        <f t="shared" si="57"/>
        <v>451760.30762657558</v>
      </c>
      <c r="G970">
        <v>6310.4953154087952</v>
      </c>
      <c r="H970" s="9">
        <f t="shared" si="59"/>
        <v>300000</v>
      </c>
      <c r="I970" s="9">
        <f t="shared" si="58"/>
        <v>-58265.327921384305</v>
      </c>
    </row>
    <row r="971" spans="3:9" x14ac:dyDescent="0.35">
      <c r="C971">
        <v>16493.850520340588</v>
      </c>
      <c r="D971" s="9">
        <f t="shared" si="56"/>
        <v>300000</v>
      </c>
      <c r="E971" s="9">
        <f t="shared" si="57"/>
        <v>550000</v>
      </c>
      <c r="G971">
        <v>6245.4908902249208</v>
      </c>
      <c r="H971" s="9">
        <f t="shared" si="59"/>
        <v>300000</v>
      </c>
      <c r="I971" s="9">
        <f t="shared" si="58"/>
        <v>-62815.637684255547</v>
      </c>
    </row>
    <row r="972" spans="3:9" x14ac:dyDescent="0.35">
      <c r="C972">
        <v>15150.883510849329</v>
      </c>
      <c r="D972" s="9">
        <f t="shared" ref="D972:D1010" si="60">50*MIN(C972,6000)</f>
        <v>300000</v>
      </c>
      <c r="E972" s="9">
        <f t="shared" ref="E972:E1010" si="61">70*MIN(C972,15000)-500000</f>
        <v>550000</v>
      </c>
      <c r="G972">
        <v>5193.0600909451587</v>
      </c>
      <c r="H972" s="9">
        <f t="shared" si="59"/>
        <v>259653.00454725794</v>
      </c>
      <c r="I972" s="9">
        <f t="shared" ref="I972:I1010" si="62">70*MIN(G972,15000)-500000</f>
        <v>-136485.79363383888</v>
      </c>
    </row>
    <row r="973" spans="3:9" x14ac:dyDescent="0.35">
      <c r="C973">
        <v>15705.404828028199</v>
      </c>
      <c r="D973" s="9">
        <f t="shared" si="60"/>
        <v>300000</v>
      </c>
      <c r="E973" s="9">
        <f t="shared" si="61"/>
        <v>550000</v>
      </c>
      <c r="G973">
        <v>7754.6311838129823</v>
      </c>
      <c r="H973" s="9">
        <f t="shared" ref="H973:H1010" si="63">50*MIN(G973,6000)</f>
        <v>300000</v>
      </c>
      <c r="I973" s="9">
        <f t="shared" si="62"/>
        <v>42824.182866908726</v>
      </c>
    </row>
    <row r="974" spans="3:9" x14ac:dyDescent="0.35">
      <c r="C974">
        <v>16249.092074343091</v>
      </c>
      <c r="D974" s="9">
        <f t="shared" si="60"/>
        <v>300000</v>
      </c>
      <c r="E974" s="9">
        <f t="shared" si="61"/>
        <v>550000</v>
      </c>
      <c r="G974">
        <v>7371.4712973418382</v>
      </c>
      <c r="H974" s="9">
        <f t="shared" si="63"/>
        <v>300000</v>
      </c>
      <c r="I974" s="9">
        <f t="shared" si="62"/>
        <v>16002.990813928656</v>
      </c>
    </row>
    <row r="975" spans="3:9" x14ac:dyDescent="0.35">
      <c r="C975">
        <v>15142.33832819605</v>
      </c>
      <c r="D975" s="9">
        <f t="shared" si="60"/>
        <v>300000</v>
      </c>
      <c r="E975" s="9">
        <f t="shared" si="61"/>
        <v>550000</v>
      </c>
      <c r="G975">
        <v>7571.2149418622394</v>
      </c>
      <c r="H975" s="9">
        <f t="shared" si="63"/>
        <v>300000</v>
      </c>
      <c r="I975" s="9">
        <f t="shared" si="62"/>
        <v>29985.045930356719</v>
      </c>
    </row>
    <row r="976" spans="3:9" x14ac:dyDescent="0.35">
      <c r="C976">
        <v>12951.261940366832</v>
      </c>
      <c r="D976" s="9">
        <f t="shared" si="60"/>
        <v>300000</v>
      </c>
      <c r="E976" s="9">
        <f t="shared" si="61"/>
        <v>406588.33582567831</v>
      </c>
      <c r="G976">
        <v>4458.1743827631453</v>
      </c>
      <c r="H976" s="9">
        <f t="shared" si="63"/>
        <v>222908.71913815726</v>
      </c>
      <c r="I976" s="9">
        <f t="shared" si="62"/>
        <v>-187927.79320657981</v>
      </c>
    </row>
    <row r="977" spans="3:9" x14ac:dyDescent="0.35">
      <c r="C977">
        <v>15372.295297097689</v>
      </c>
      <c r="D977" s="9">
        <f t="shared" si="60"/>
        <v>300000</v>
      </c>
      <c r="E977" s="9">
        <f t="shared" si="61"/>
        <v>550000</v>
      </c>
      <c r="G977">
        <v>4929.2275765251625</v>
      </c>
      <c r="H977" s="9">
        <f t="shared" si="63"/>
        <v>246461.37882625812</v>
      </c>
      <c r="I977" s="9">
        <f t="shared" si="62"/>
        <v>-154954.06964323862</v>
      </c>
    </row>
    <row r="978" spans="3:9" x14ac:dyDescent="0.35">
      <c r="C978">
        <v>15123.569444868313</v>
      </c>
      <c r="D978" s="9">
        <f t="shared" si="60"/>
        <v>300000</v>
      </c>
      <c r="E978" s="9">
        <f t="shared" si="61"/>
        <v>550000</v>
      </c>
      <c r="G978">
        <v>6845.3321939756461</v>
      </c>
      <c r="H978" s="9">
        <f t="shared" si="63"/>
        <v>300000</v>
      </c>
      <c r="I978" s="9">
        <f t="shared" si="62"/>
        <v>-20826.746421704767</v>
      </c>
    </row>
    <row r="979" spans="3:9" x14ac:dyDescent="0.35">
      <c r="C979">
        <v>13652.882473220008</v>
      </c>
      <c r="D979" s="9">
        <f t="shared" si="60"/>
        <v>300000</v>
      </c>
      <c r="E979" s="9">
        <f t="shared" si="61"/>
        <v>455701.77312540053</v>
      </c>
      <c r="G979">
        <v>3432.1420941801202</v>
      </c>
      <c r="H979" s="9">
        <f t="shared" si="63"/>
        <v>171607.104709006</v>
      </c>
      <c r="I979" s="9">
        <f t="shared" si="62"/>
        <v>-259750.05340739159</v>
      </c>
    </row>
    <row r="980" spans="3:9" x14ac:dyDescent="0.35">
      <c r="C980">
        <v>15737.907040620135</v>
      </c>
      <c r="D980" s="9">
        <f t="shared" si="60"/>
        <v>300000</v>
      </c>
      <c r="E980" s="9">
        <f t="shared" si="61"/>
        <v>550000</v>
      </c>
      <c r="G980">
        <v>7200.5676442762533</v>
      </c>
      <c r="H980" s="9">
        <f t="shared" si="63"/>
        <v>300000</v>
      </c>
      <c r="I980" s="9">
        <f t="shared" si="62"/>
        <v>4039.735099337704</v>
      </c>
    </row>
    <row r="981" spans="3:9" x14ac:dyDescent="0.35">
      <c r="C981">
        <v>15895.077364421522</v>
      </c>
      <c r="D981" s="9">
        <f t="shared" si="60"/>
        <v>300000</v>
      </c>
      <c r="E981" s="9">
        <f t="shared" si="61"/>
        <v>550000</v>
      </c>
      <c r="G981">
        <v>6204.1383098849456</v>
      </c>
      <c r="H981" s="9">
        <f t="shared" si="63"/>
        <v>300000</v>
      </c>
      <c r="I981" s="9">
        <f t="shared" si="62"/>
        <v>-65710.318308053829</v>
      </c>
    </row>
    <row r="982" spans="3:9" x14ac:dyDescent="0.35">
      <c r="C982">
        <v>15393.810846278267</v>
      </c>
      <c r="D982" s="9">
        <f t="shared" si="60"/>
        <v>300000</v>
      </c>
      <c r="E982" s="9">
        <f t="shared" si="61"/>
        <v>550000</v>
      </c>
      <c r="G982">
        <v>3080.1110873744929</v>
      </c>
      <c r="H982" s="9">
        <f t="shared" si="63"/>
        <v>154005.55436872464</v>
      </c>
      <c r="I982" s="9">
        <f t="shared" si="62"/>
        <v>-284392.22388378554</v>
      </c>
    </row>
    <row r="983" spans="3:9" x14ac:dyDescent="0.35">
      <c r="C983">
        <v>16868.465224158452</v>
      </c>
      <c r="D983" s="9">
        <f t="shared" si="60"/>
        <v>300000</v>
      </c>
      <c r="E983" s="9">
        <f t="shared" si="61"/>
        <v>550000</v>
      </c>
      <c r="G983">
        <v>3855.1286355174416</v>
      </c>
      <c r="H983" s="9">
        <f t="shared" si="63"/>
        <v>192756.43177587207</v>
      </c>
      <c r="I983" s="9">
        <f t="shared" si="62"/>
        <v>-230140.99551377911</v>
      </c>
    </row>
    <row r="984" spans="3:9" x14ac:dyDescent="0.35">
      <c r="C984">
        <v>15391.064180425428</v>
      </c>
      <c r="D984" s="9">
        <f t="shared" si="60"/>
        <v>300000</v>
      </c>
      <c r="E984" s="9">
        <f t="shared" si="61"/>
        <v>550000</v>
      </c>
      <c r="G984">
        <v>5627.9488509781186</v>
      </c>
      <c r="H984" s="9">
        <f t="shared" si="63"/>
        <v>281397.44254890591</v>
      </c>
      <c r="I984" s="9">
        <f t="shared" si="62"/>
        <v>-106043.58043153171</v>
      </c>
    </row>
    <row r="985" spans="3:9" x14ac:dyDescent="0.35">
      <c r="C985">
        <v>14906.582842493972</v>
      </c>
      <c r="D985" s="9">
        <f t="shared" si="60"/>
        <v>300000</v>
      </c>
      <c r="E985" s="9">
        <f t="shared" si="61"/>
        <v>543460.79897457804</v>
      </c>
      <c r="G985">
        <v>5591.7844172490622</v>
      </c>
      <c r="H985" s="9">
        <f t="shared" si="63"/>
        <v>279589.2208624531</v>
      </c>
      <c r="I985" s="9">
        <f t="shared" si="62"/>
        <v>-108575.09079256566</v>
      </c>
    </row>
    <row r="986" spans="3:9" x14ac:dyDescent="0.35">
      <c r="C986">
        <v>16838.709677419356</v>
      </c>
      <c r="D986" s="9">
        <f t="shared" si="60"/>
        <v>300000</v>
      </c>
      <c r="E986" s="9">
        <f t="shared" si="61"/>
        <v>550000</v>
      </c>
      <c r="G986">
        <v>4626.94174016541</v>
      </c>
      <c r="H986" s="9">
        <f t="shared" si="63"/>
        <v>231347.08700827049</v>
      </c>
      <c r="I986" s="9">
        <f t="shared" si="62"/>
        <v>-176114.07818842132</v>
      </c>
    </row>
    <row r="987" spans="3:9" x14ac:dyDescent="0.35">
      <c r="C987">
        <v>14916.653950621052</v>
      </c>
      <c r="D987" s="9">
        <f t="shared" si="60"/>
        <v>300000</v>
      </c>
      <c r="E987" s="9">
        <f t="shared" si="61"/>
        <v>544165.77654347359</v>
      </c>
      <c r="G987">
        <v>3922.5745414593953</v>
      </c>
      <c r="H987" s="9">
        <f t="shared" si="63"/>
        <v>196128.72707296978</v>
      </c>
      <c r="I987" s="9">
        <f t="shared" si="62"/>
        <v>-225419.78209784231</v>
      </c>
    </row>
    <row r="988" spans="3:9" x14ac:dyDescent="0.35">
      <c r="C988">
        <v>15630.634479812006</v>
      </c>
      <c r="D988" s="9">
        <f t="shared" si="60"/>
        <v>300000</v>
      </c>
      <c r="E988" s="9">
        <f t="shared" si="61"/>
        <v>550000</v>
      </c>
      <c r="G988">
        <v>4788.6898403881951</v>
      </c>
      <c r="H988" s="9">
        <f t="shared" si="63"/>
        <v>239434.49201940975</v>
      </c>
      <c r="I988" s="9">
        <f t="shared" si="62"/>
        <v>-164791.71117282636</v>
      </c>
    </row>
    <row r="989" spans="3:9" x14ac:dyDescent="0.35">
      <c r="C989">
        <v>16435.407574694051</v>
      </c>
      <c r="D989" s="9">
        <f t="shared" si="60"/>
        <v>300000</v>
      </c>
      <c r="E989" s="9">
        <f t="shared" si="61"/>
        <v>550000</v>
      </c>
      <c r="G989">
        <v>4562.3950926236757</v>
      </c>
      <c r="H989" s="9">
        <f t="shared" si="63"/>
        <v>228119.75463118378</v>
      </c>
      <c r="I989" s="9">
        <f t="shared" si="62"/>
        <v>-180632.34351634269</v>
      </c>
    </row>
    <row r="990" spans="3:9" x14ac:dyDescent="0.35">
      <c r="C990">
        <v>14309.640797143467</v>
      </c>
      <c r="D990" s="9">
        <f t="shared" si="60"/>
        <v>300000</v>
      </c>
      <c r="E990" s="9">
        <f t="shared" si="61"/>
        <v>501674.85580004274</v>
      </c>
      <c r="G990">
        <v>4734.3668935209207</v>
      </c>
      <c r="H990" s="9">
        <f t="shared" si="63"/>
        <v>236718.34467604605</v>
      </c>
      <c r="I990" s="9">
        <f t="shared" si="62"/>
        <v>-168594.31745353556</v>
      </c>
    </row>
    <row r="991" spans="3:9" x14ac:dyDescent="0.35">
      <c r="C991">
        <v>14935.270241401409</v>
      </c>
      <c r="D991" s="9">
        <f t="shared" si="60"/>
        <v>300000</v>
      </c>
      <c r="E991" s="9">
        <f t="shared" si="61"/>
        <v>545468.91689809866</v>
      </c>
      <c r="G991">
        <v>3412.152470473342</v>
      </c>
      <c r="H991" s="9">
        <f t="shared" si="63"/>
        <v>170607.62352366711</v>
      </c>
      <c r="I991" s="9">
        <f t="shared" si="62"/>
        <v>-261149.32706686607</v>
      </c>
    </row>
    <row r="992" spans="3:9" x14ac:dyDescent="0.35">
      <c r="C992">
        <v>12468.306527909177</v>
      </c>
      <c r="D992" s="9">
        <f t="shared" si="60"/>
        <v>300000</v>
      </c>
      <c r="E992" s="9">
        <f t="shared" si="61"/>
        <v>372781.45695364242</v>
      </c>
      <c r="G992">
        <v>4277.3522141178628</v>
      </c>
      <c r="H992" s="9">
        <f t="shared" si="63"/>
        <v>213867.61070589314</v>
      </c>
      <c r="I992" s="9">
        <f t="shared" si="62"/>
        <v>-200585.3450117496</v>
      </c>
    </row>
    <row r="993" spans="3:9" x14ac:dyDescent="0.35">
      <c r="C993">
        <v>12672.627948850979</v>
      </c>
      <c r="D993" s="9">
        <f t="shared" si="60"/>
        <v>300000</v>
      </c>
      <c r="E993" s="9">
        <f t="shared" si="61"/>
        <v>387083.95641956851</v>
      </c>
      <c r="G993">
        <v>5046.8764305551322</v>
      </c>
      <c r="H993" s="9">
        <f t="shared" si="63"/>
        <v>252343.82152775661</v>
      </c>
      <c r="I993" s="9">
        <f t="shared" si="62"/>
        <v>-146718.64986114076</v>
      </c>
    </row>
    <row r="994" spans="3:9" x14ac:dyDescent="0.35">
      <c r="C994">
        <v>13051.210058900724</v>
      </c>
      <c r="D994" s="9">
        <f t="shared" si="60"/>
        <v>300000</v>
      </c>
      <c r="E994" s="9">
        <f t="shared" si="61"/>
        <v>413584.70412305067</v>
      </c>
      <c r="G994">
        <v>7963.5303811761833</v>
      </c>
      <c r="H994" s="9">
        <f t="shared" si="63"/>
        <v>300000</v>
      </c>
      <c r="I994" s="9">
        <f t="shared" si="62"/>
        <v>57447.126682332833</v>
      </c>
    </row>
    <row r="995" spans="3:9" x14ac:dyDescent="0.35">
      <c r="C995">
        <v>13234.931485946227</v>
      </c>
      <c r="D995" s="9">
        <f t="shared" si="60"/>
        <v>300000</v>
      </c>
      <c r="E995" s="9">
        <f t="shared" si="61"/>
        <v>426445.20401623589</v>
      </c>
      <c r="G995">
        <v>5078.9208655049288</v>
      </c>
      <c r="H995" s="9">
        <f t="shared" si="63"/>
        <v>253946.04327524643</v>
      </c>
      <c r="I995" s="9">
        <f t="shared" si="62"/>
        <v>-144475.53941465501</v>
      </c>
    </row>
    <row r="996" spans="3:9" x14ac:dyDescent="0.35">
      <c r="C996">
        <v>13341.898861659596</v>
      </c>
      <c r="D996" s="9">
        <f t="shared" si="60"/>
        <v>300000</v>
      </c>
      <c r="E996" s="9">
        <f t="shared" si="61"/>
        <v>433932.92031617172</v>
      </c>
      <c r="G996">
        <v>4014.8930326242867</v>
      </c>
      <c r="H996" s="9">
        <f t="shared" si="63"/>
        <v>200744.65163121434</v>
      </c>
      <c r="I996" s="9">
        <f t="shared" si="62"/>
        <v>-218957.48771629995</v>
      </c>
    </row>
    <row r="997" spans="3:9" x14ac:dyDescent="0.35">
      <c r="C997">
        <v>14696.615497299112</v>
      </c>
      <c r="D997" s="9">
        <f t="shared" si="60"/>
        <v>300000</v>
      </c>
      <c r="E997" s="9">
        <f t="shared" si="61"/>
        <v>528763.08481093787</v>
      </c>
      <c r="G997">
        <v>5223.8837855159154</v>
      </c>
      <c r="H997" s="9">
        <f t="shared" si="63"/>
        <v>261194.18927579577</v>
      </c>
      <c r="I997" s="9">
        <f t="shared" si="62"/>
        <v>-134328.13501388591</v>
      </c>
    </row>
    <row r="998" spans="3:9" x14ac:dyDescent="0.35">
      <c r="C998">
        <v>12155.491805780206</v>
      </c>
      <c r="D998" s="9">
        <f t="shared" si="60"/>
        <v>300000</v>
      </c>
      <c r="E998" s="9">
        <f t="shared" si="61"/>
        <v>350884.42640461447</v>
      </c>
      <c r="G998">
        <v>3451.9791253395183</v>
      </c>
      <c r="H998" s="9">
        <f t="shared" si="63"/>
        <v>172598.9562669759</v>
      </c>
      <c r="I998" s="9">
        <f t="shared" si="62"/>
        <v>-258361.46122623372</v>
      </c>
    </row>
    <row r="999" spans="3:9" x14ac:dyDescent="0.35">
      <c r="C999">
        <v>13058.839686269723</v>
      </c>
      <c r="D999" s="9">
        <f t="shared" si="60"/>
        <v>300000</v>
      </c>
      <c r="E999" s="9">
        <f t="shared" si="61"/>
        <v>414118.77803888055</v>
      </c>
      <c r="G999">
        <v>7985.808893093661</v>
      </c>
      <c r="H999" s="9">
        <f t="shared" si="63"/>
        <v>300000</v>
      </c>
      <c r="I999" s="9">
        <f t="shared" si="62"/>
        <v>59006.622516556294</v>
      </c>
    </row>
    <row r="1000" spans="3:9" x14ac:dyDescent="0.35">
      <c r="C1000">
        <v>14461.775566881313</v>
      </c>
      <c r="D1000" s="9">
        <f t="shared" si="60"/>
        <v>300000</v>
      </c>
      <c r="E1000" s="9">
        <f t="shared" si="61"/>
        <v>512324.28968169191</v>
      </c>
      <c r="G1000">
        <v>4881.7712942899871</v>
      </c>
      <c r="H1000" s="9">
        <f t="shared" si="63"/>
        <v>244088.56471449934</v>
      </c>
      <c r="I1000" s="9">
        <f t="shared" si="62"/>
        <v>-158276.00939970091</v>
      </c>
    </row>
    <row r="1001" spans="3:9" x14ac:dyDescent="0.35">
      <c r="C1001">
        <v>13556.749168370618</v>
      </c>
      <c r="D1001" s="9">
        <f t="shared" si="60"/>
        <v>300000</v>
      </c>
      <c r="E1001" s="9">
        <f t="shared" si="61"/>
        <v>448972.44178594323</v>
      </c>
      <c r="G1001">
        <v>5746.2080751976082</v>
      </c>
      <c r="H1001" s="9">
        <f t="shared" si="63"/>
        <v>287310.4037598804</v>
      </c>
      <c r="I1001" s="9">
        <f t="shared" si="62"/>
        <v>-97765.43473616743</v>
      </c>
    </row>
    <row r="1002" spans="3:9" x14ac:dyDescent="0.35">
      <c r="C1002">
        <v>16934.232612079228</v>
      </c>
      <c r="D1002" s="9">
        <f t="shared" si="60"/>
        <v>300000</v>
      </c>
      <c r="E1002" s="9">
        <f t="shared" si="61"/>
        <v>550000</v>
      </c>
      <c r="G1002">
        <v>6861.812189092685</v>
      </c>
      <c r="H1002" s="9">
        <f t="shared" si="63"/>
        <v>300000</v>
      </c>
      <c r="I1002" s="9">
        <f t="shared" si="62"/>
        <v>-19673.14676351205</v>
      </c>
    </row>
    <row r="1003" spans="3:9" x14ac:dyDescent="0.35">
      <c r="C1003">
        <v>15594.164860988189</v>
      </c>
      <c r="D1003" s="9">
        <f t="shared" si="60"/>
        <v>300000</v>
      </c>
      <c r="E1003" s="9">
        <f t="shared" si="61"/>
        <v>550000</v>
      </c>
      <c r="G1003">
        <v>4788.9950254829555</v>
      </c>
      <c r="H1003" s="9">
        <f t="shared" si="63"/>
        <v>239449.75127414777</v>
      </c>
      <c r="I1003" s="9">
        <f t="shared" si="62"/>
        <v>-164770.34821619309</v>
      </c>
    </row>
    <row r="1004" spans="3:9" x14ac:dyDescent="0.35">
      <c r="C1004">
        <v>13401.562547685171</v>
      </c>
      <c r="D1004" s="9">
        <f t="shared" si="60"/>
        <v>300000</v>
      </c>
      <c r="E1004" s="9">
        <f t="shared" si="61"/>
        <v>438109.37833796197</v>
      </c>
      <c r="G1004">
        <v>7485.1527451399279</v>
      </c>
      <c r="H1004" s="9">
        <f t="shared" si="63"/>
        <v>300000</v>
      </c>
      <c r="I1004" s="9">
        <f t="shared" si="62"/>
        <v>23960.692159794969</v>
      </c>
    </row>
    <row r="1005" spans="3:9" x14ac:dyDescent="0.35">
      <c r="C1005">
        <v>15625.598925748467</v>
      </c>
      <c r="D1005" s="9">
        <f t="shared" si="60"/>
        <v>300000</v>
      </c>
      <c r="E1005" s="9">
        <f t="shared" si="61"/>
        <v>550000</v>
      </c>
      <c r="G1005">
        <v>6562.4256111331524</v>
      </c>
      <c r="H1005" s="9">
        <f t="shared" si="63"/>
        <v>300000</v>
      </c>
      <c r="I1005" s="9">
        <f t="shared" si="62"/>
        <v>-40630.207220679324</v>
      </c>
    </row>
    <row r="1006" spans="3:9" x14ac:dyDescent="0.35">
      <c r="C1006">
        <v>13485.946226386302</v>
      </c>
      <c r="D1006" s="9">
        <f t="shared" si="60"/>
        <v>300000</v>
      </c>
      <c r="E1006" s="9">
        <f t="shared" si="61"/>
        <v>444016.23584704113</v>
      </c>
      <c r="G1006">
        <v>5537.0036927396468</v>
      </c>
      <c r="H1006" s="9">
        <f t="shared" si="63"/>
        <v>276850.18463698233</v>
      </c>
      <c r="I1006" s="9">
        <f t="shared" si="62"/>
        <v>-112409.74150822475</v>
      </c>
    </row>
    <row r="1007" spans="3:9" x14ac:dyDescent="0.35">
      <c r="C1007">
        <v>14391.27780999176</v>
      </c>
      <c r="D1007" s="9">
        <f t="shared" si="60"/>
        <v>300000</v>
      </c>
      <c r="E1007" s="9">
        <f t="shared" si="61"/>
        <v>507389.44669942313</v>
      </c>
      <c r="G1007">
        <v>4386.1507003997922</v>
      </c>
      <c r="H1007" s="9">
        <f t="shared" si="63"/>
        <v>219307.53501998962</v>
      </c>
      <c r="I1007" s="9">
        <f t="shared" si="62"/>
        <v>-192969.45097201457</v>
      </c>
    </row>
    <row r="1008" spans="3:9" x14ac:dyDescent="0.35">
      <c r="C1008">
        <v>16465.31571398053</v>
      </c>
      <c r="D1008" s="9">
        <f t="shared" si="60"/>
        <v>300000</v>
      </c>
      <c r="E1008" s="9">
        <f t="shared" si="61"/>
        <v>550000</v>
      </c>
      <c r="G1008">
        <v>4842.5550096133302</v>
      </c>
      <c r="H1008" s="9">
        <f t="shared" si="63"/>
        <v>242127.75048066652</v>
      </c>
      <c r="I1008" s="9">
        <f t="shared" si="62"/>
        <v>-161021.1493270669</v>
      </c>
    </row>
    <row r="1009" spans="3:9" x14ac:dyDescent="0.35">
      <c r="C1009">
        <v>13625.263222144231</v>
      </c>
      <c r="D1009" s="9">
        <f t="shared" si="60"/>
        <v>300000</v>
      </c>
      <c r="E1009" s="9">
        <f t="shared" si="61"/>
        <v>453768.4255500962</v>
      </c>
      <c r="G1009">
        <v>6990.6002990813922</v>
      </c>
      <c r="H1009" s="9">
        <f t="shared" si="63"/>
        <v>300000</v>
      </c>
      <c r="I1009" s="9">
        <f t="shared" si="62"/>
        <v>-10657.979064302519</v>
      </c>
    </row>
    <row r="1010" spans="3:9" x14ac:dyDescent="0.35">
      <c r="C1010">
        <v>16245.27726065859</v>
      </c>
      <c r="D1010" s="9">
        <f t="shared" si="60"/>
        <v>300000</v>
      </c>
      <c r="E1010" s="9">
        <f t="shared" si="61"/>
        <v>550000</v>
      </c>
      <c r="G1010">
        <v>3908.2308420056765</v>
      </c>
      <c r="H1010" s="9">
        <f t="shared" si="63"/>
        <v>195411.54210028384</v>
      </c>
      <c r="I1010" s="9">
        <f t="shared" si="62"/>
        <v>-226423.84105960262</v>
      </c>
    </row>
  </sheetData>
  <mergeCells count="2">
    <mergeCell ref="C9:E9"/>
    <mergeCell ref="G9:I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D3B78-A141-4023-9C35-B26EB7929AD1}">
  <dimension ref="B1:L16"/>
  <sheetViews>
    <sheetView workbookViewId="0">
      <selection activeCell="P8" sqref="P8"/>
    </sheetView>
  </sheetViews>
  <sheetFormatPr defaultRowHeight="14.5" x14ac:dyDescent="0.35"/>
  <cols>
    <col min="3" max="3" width="9.81640625" bestFit="1" customWidth="1"/>
    <col min="5" max="5" width="13.453125" bestFit="1" customWidth="1"/>
    <col min="6" max="6" width="10.26953125" bestFit="1" customWidth="1"/>
  </cols>
  <sheetData>
    <row r="1" spans="2:12" x14ac:dyDescent="0.35">
      <c r="B1" s="20" t="s">
        <v>91</v>
      </c>
      <c r="C1" s="20" t="s">
        <v>92</v>
      </c>
      <c r="E1" t="s">
        <v>95</v>
      </c>
      <c r="F1" t="s">
        <v>96</v>
      </c>
      <c r="G1" t="s">
        <v>97</v>
      </c>
      <c r="J1" t="s">
        <v>53</v>
      </c>
      <c r="K1" t="s">
        <v>102</v>
      </c>
    </row>
    <row r="2" spans="2:12" x14ac:dyDescent="0.35">
      <c r="B2" s="20">
        <v>10</v>
      </c>
      <c r="C2" s="20" t="s">
        <v>93</v>
      </c>
      <c r="D2" s="6"/>
      <c r="E2" t="str">
        <f>IF(B2&gt;=18,"Eligible", "Not Eligible")</f>
        <v>Not Eligible</v>
      </c>
      <c r="F2" t="str">
        <f>IF(AND(B2&gt;=18,C2="Yes"),"Eligible", "Not-eligible")</f>
        <v>Not-eligible</v>
      </c>
      <c r="G2" t="str">
        <f>IF(OR(B2&gt;=18,C2="Yes"), "Eligible", "Not eligible")</f>
        <v>Eligible</v>
      </c>
      <c r="J2">
        <v>250</v>
      </c>
    </row>
    <row r="3" spans="2:12" x14ac:dyDescent="0.35">
      <c r="B3" s="20">
        <v>18</v>
      </c>
      <c r="C3" s="20" t="s">
        <v>94</v>
      </c>
      <c r="D3" s="6"/>
      <c r="E3" t="str">
        <f t="shared" ref="E3:E9" si="0">IF(B3&gt;=18,"Eligible", "Not Eligible")</f>
        <v>Eligible</v>
      </c>
      <c r="F3" t="str">
        <f t="shared" ref="F3:F10" si="1">IF(AND(B3&gt;=18,C3="Yes"),"Eligible", "Not-eligible")</f>
        <v>Not-eligible</v>
      </c>
      <c r="G3" t="str">
        <f t="shared" ref="G3:G10" si="2">IF(OR(B3&gt;=18,C3="Yes"), "Eligible", "Not eligible")</f>
        <v>Eligible</v>
      </c>
      <c r="J3">
        <v>500</v>
      </c>
    </row>
    <row r="4" spans="2:12" x14ac:dyDescent="0.35">
      <c r="B4" s="20">
        <v>20</v>
      </c>
      <c r="C4" s="20" t="s">
        <v>93</v>
      </c>
      <c r="D4" s="6"/>
      <c r="E4" t="str">
        <f t="shared" si="0"/>
        <v>Eligible</v>
      </c>
      <c r="F4" t="str">
        <f t="shared" si="1"/>
        <v>Eligible</v>
      </c>
      <c r="G4" t="str">
        <f t="shared" si="2"/>
        <v>Eligible</v>
      </c>
      <c r="J4">
        <v>20</v>
      </c>
    </row>
    <row r="5" spans="2:12" x14ac:dyDescent="0.35">
      <c r="B5" s="20">
        <v>13</v>
      </c>
      <c r="C5" s="20" t="s">
        <v>94</v>
      </c>
      <c r="D5" s="6"/>
      <c r="E5" t="str">
        <f t="shared" si="0"/>
        <v>Not Eligible</v>
      </c>
      <c r="F5" t="str">
        <f t="shared" si="1"/>
        <v>Not-eligible</v>
      </c>
      <c r="G5" t="str">
        <f t="shared" si="2"/>
        <v>Not eligible</v>
      </c>
      <c r="J5">
        <v>350</v>
      </c>
    </row>
    <row r="6" spans="2:12" x14ac:dyDescent="0.35">
      <c r="B6" s="20">
        <v>35</v>
      </c>
      <c r="C6" s="20" t="s">
        <v>93</v>
      </c>
      <c r="D6" s="6"/>
      <c r="E6" t="str">
        <f t="shared" si="0"/>
        <v>Eligible</v>
      </c>
      <c r="F6" t="str">
        <f t="shared" si="1"/>
        <v>Eligible</v>
      </c>
      <c r="G6" t="str">
        <f t="shared" si="2"/>
        <v>Eligible</v>
      </c>
      <c r="J6">
        <v>60</v>
      </c>
    </row>
    <row r="7" spans="2:12" x14ac:dyDescent="0.35">
      <c r="B7" s="20">
        <v>45</v>
      </c>
      <c r="C7" s="20" t="s">
        <v>93</v>
      </c>
      <c r="D7" s="6"/>
      <c r="E7" t="str">
        <f t="shared" si="0"/>
        <v>Eligible</v>
      </c>
      <c r="F7" t="str">
        <f t="shared" si="1"/>
        <v>Eligible</v>
      </c>
      <c r="G7" t="str">
        <f t="shared" si="2"/>
        <v>Eligible</v>
      </c>
      <c r="J7">
        <v>1000</v>
      </c>
    </row>
    <row r="8" spans="2:12" x14ac:dyDescent="0.35">
      <c r="B8" s="20">
        <v>67</v>
      </c>
      <c r="C8" s="20" t="s">
        <v>93</v>
      </c>
      <c r="D8" s="6"/>
      <c r="E8" t="str">
        <f t="shared" si="0"/>
        <v>Eligible</v>
      </c>
      <c r="F8" t="str">
        <f t="shared" si="1"/>
        <v>Eligible</v>
      </c>
      <c r="G8" t="str">
        <f t="shared" si="2"/>
        <v>Eligible</v>
      </c>
      <c r="J8">
        <v>12000</v>
      </c>
    </row>
    <row r="9" spans="2:12" x14ac:dyDescent="0.35">
      <c r="B9" s="20">
        <v>16</v>
      </c>
      <c r="C9" s="20" t="s">
        <v>93</v>
      </c>
      <c r="D9" s="6"/>
      <c r="E9" t="str">
        <f t="shared" si="0"/>
        <v>Not Eligible</v>
      </c>
      <c r="F9" t="str">
        <f t="shared" si="1"/>
        <v>Not-eligible</v>
      </c>
      <c r="G9" t="str">
        <f t="shared" si="2"/>
        <v>Eligible</v>
      </c>
      <c r="J9">
        <v>12</v>
      </c>
    </row>
    <row r="10" spans="2:12" x14ac:dyDescent="0.35">
      <c r="B10" s="20">
        <v>88</v>
      </c>
      <c r="C10" s="20" t="s">
        <v>94</v>
      </c>
      <c r="D10" s="6"/>
      <c r="E10" t="str">
        <f>IF(B10&gt;=18,"Eligible", "Not Eligible")</f>
        <v>Eligible</v>
      </c>
      <c r="F10" t="str">
        <f t="shared" si="1"/>
        <v>Not-eligible</v>
      </c>
      <c r="G10" t="str">
        <f t="shared" si="2"/>
        <v>Eligible</v>
      </c>
      <c r="J10">
        <v>120</v>
      </c>
    </row>
    <row r="11" spans="2:12" x14ac:dyDescent="0.35">
      <c r="D11" s="6"/>
      <c r="J11">
        <v>150</v>
      </c>
    </row>
    <row r="13" spans="2:12" x14ac:dyDescent="0.35">
      <c r="L13" t="s">
        <v>98</v>
      </c>
    </row>
    <row r="14" spans="2:12" x14ac:dyDescent="0.35">
      <c r="L14" t="s">
        <v>99</v>
      </c>
    </row>
    <row r="15" spans="2:12" x14ac:dyDescent="0.35">
      <c r="L15" t="s">
        <v>100</v>
      </c>
    </row>
    <row r="16" spans="2:12" x14ac:dyDescent="0.35">
      <c r="L16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1A27B-C8E8-426A-8BA8-91F4E9FEFE9B}">
  <dimension ref="A1:J20"/>
  <sheetViews>
    <sheetView workbookViewId="0">
      <selection activeCell="G14" sqref="G14"/>
    </sheetView>
  </sheetViews>
  <sheetFormatPr defaultRowHeight="14.5" x14ac:dyDescent="0.35"/>
  <cols>
    <col min="1" max="1" width="13.7265625" customWidth="1"/>
    <col min="2" max="2" width="16.7265625" customWidth="1"/>
    <col min="3" max="3" width="14.54296875" customWidth="1"/>
    <col min="4" max="4" width="15.7265625" customWidth="1"/>
    <col min="5" max="5" width="30.26953125" customWidth="1"/>
  </cols>
  <sheetData>
    <row r="1" spans="1:7" x14ac:dyDescent="0.35">
      <c r="A1" t="s">
        <v>28</v>
      </c>
      <c r="B1" t="s">
        <v>29</v>
      </c>
      <c r="C1" t="s">
        <v>30</v>
      </c>
      <c r="D1" t="s">
        <v>31</v>
      </c>
      <c r="E1" t="s">
        <v>60</v>
      </c>
      <c r="F1" s="3" t="s">
        <v>55</v>
      </c>
    </row>
    <row r="2" spans="1:7" x14ac:dyDescent="0.35">
      <c r="A2" t="s">
        <v>32</v>
      </c>
      <c r="B2" t="s">
        <v>42</v>
      </c>
      <c r="C2" t="s">
        <v>52</v>
      </c>
      <c r="D2" s="6">
        <v>45000</v>
      </c>
      <c r="E2" t="s">
        <v>61</v>
      </c>
      <c r="F2">
        <v>1</v>
      </c>
      <c r="G2" t="s">
        <v>56</v>
      </c>
    </row>
    <row r="3" spans="1:7" x14ac:dyDescent="0.35">
      <c r="A3" t="s">
        <v>33</v>
      </c>
      <c r="B3" t="s">
        <v>43</v>
      </c>
      <c r="C3" t="s">
        <v>53</v>
      </c>
      <c r="D3" s="6">
        <v>50000</v>
      </c>
      <c r="E3" t="s">
        <v>62</v>
      </c>
    </row>
    <row r="4" spans="1:7" x14ac:dyDescent="0.35">
      <c r="A4" t="s">
        <v>34</v>
      </c>
      <c r="B4" t="s">
        <v>44</v>
      </c>
      <c r="C4" t="s">
        <v>54</v>
      </c>
      <c r="D4" s="6">
        <v>65000</v>
      </c>
      <c r="E4" t="s">
        <v>63</v>
      </c>
    </row>
    <row r="5" spans="1:7" x14ac:dyDescent="0.35">
      <c r="A5" t="s">
        <v>35</v>
      </c>
      <c r="B5" t="s">
        <v>45</v>
      </c>
      <c r="C5" t="s">
        <v>52</v>
      </c>
      <c r="D5" s="6">
        <v>45000</v>
      </c>
      <c r="E5" t="s">
        <v>64</v>
      </c>
      <c r="F5">
        <v>2</v>
      </c>
      <c r="G5" t="s">
        <v>57</v>
      </c>
    </row>
    <row r="6" spans="1:7" x14ac:dyDescent="0.35">
      <c r="A6" t="s">
        <v>36</v>
      </c>
      <c r="B6" t="s">
        <v>46</v>
      </c>
      <c r="C6" t="s">
        <v>53</v>
      </c>
      <c r="D6" s="6">
        <v>55000</v>
      </c>
      <c r="E6" t="s">
        <v>64</v>
      </c>
    </row>
    <row r="7" spans="1:7" x14ac:dyDescent="0.35">
      <c r="A7" t="s">
        <v>37</v>
      </c>
      <c r="B7" t="s">
        <v>47</v>
      </c>
      <c r="C7" t="s">
        <v>54</v>
      </c>
      <c r="D7" s="6">
        <v>65000</v>
      </c>
      <c r="E7" t="s">
        <v>65</v>
      </c>
    </row>
    <row r="8" spans="1:7" x14ac:dyDescent="0.35">
      <c r="A8" t="s">
        <v>38</v>
      </c>
      <c r="B8" t="s">
        <v>48</v>
      </c>
      <c r="C8" t="s">
        <v>52</v>
      </c>
      <c r="D8" s="6">
        <v>70000</v>
      </c>
      <c r="E8" t="s">
        <v>61</v>
      </c>
      <c r="F8">
        <v>3</v>
      </c>
      <c r="G8" t="s">
        <v>58</v>
      </c>
    </row>
    <row r="9" spans="1:7" x14ac:dyDescent="0.35">
      <c r="A9" t="s">
        <v>39</v>
      </c>
      <c r="B9" t="s">
        <v>49</v>
      </c>
      <c r="C9" t="s">
        <v>53</v>
      </c>
      <c r="D9" s="6">
        <v>65000</v>
      </c>
      <c r="E9" t="s">
        <v>62</v>
      </c>
    </row>
    <row r="10" spans="1:7" x14ac:dyDescent="0.35">
      <c r="A10" t="s">
        <v>40</v>
      </c>
      <c r="B10" t="s">
        <v>50</v>
      </c>
      <c r="C10" t="s">
        <v>54</v>
      </c>
      <c r="D10" s="6">
        <v>80000</v>
      </c>
      <c r="E10" t="s">
        <v>65</v>
      </c>
    </row>
    <row r="11" spans="1:7" x14ac:dyDescent="0.35">
      <c r="A11" t="s">
        <v>41</v>
      </c>
      <c r="B11" t="s">
        <v>51</v>
      </c>
      <c r="C11" t="s">
        <v>52</v>
      </c>
      <c r="D11" s="6">
        <v>70000</v>
      </c>
      <c r="E11" t="s">
        <v>64</v>
      </c>
      <c r="F11" s="3" t="s">
        <v>59</v>
      </c>
    </row>
    <row r="13" spans="1:7" x14ac:dyDescent="0.35">
      <c r="F13">
        <v>1</v>
      </c>
      <c r="G13" t="s">
        <v>66</v>
      </c>
    </row>
    <row r="16" spans="1:7" x14ac:dyDescent="0.35">
      <c r="F16">
        <v>2</v>
      </c>
      <c r="G16" t="s">
        <v>67</v>
      </c>
    </row>
    <row r="19" spans="6:10" x14ac:dyDescent="0.35">
      <c r="F19">
        <v>3</v>
      </c>
      <c r="G19" t="s">
        <v>103</v>
      </c>
      <c r="H19" t="s">
        <v>65</v>
      </c>
      <c r="J19" t="s">
        <v>31</v>
      </c>
    </row>
    <row r="20" spans="6:10" x14ac:dyDescent="0.35">
      <c r="H20">
        <f>SUMIFS(D2:D11,C2:C11,"R &amp; D", E2:E11, "Developer")</f>
        <v>145000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64D34-FB00-4FD0-819B-E3057D61D231}">
  <dimension ref="A1:I19"/>
  <sheetViews>
    <sheetView workbookViewId="0">
      <selection activeCell="H18" sqref="H18"/>
    </sheetView>
  </sheetViews>
  <sheetFormatPr defaultRowHeight="14.5" x14ac:dyDescent="0.35"/>
  <cols>
    <col min="1" max="1" width="11.54296875" customWidth="1"/>
    <col min="2" max="2" width="14" customWidth="1"/>
    <col min="3" max="3" width="14.26953125" customWidth="1"/>
    <col min="4" max="4" width="15" customWidth="1"/>
    <col min="5" max="5" width="21.81640625" customWidth="1"/>
  </cols>
  <sheetData>
    <row r="1" spans="1:8" x14ac:dyDescent="0.35">
      <c r="A1" t="s">
        <v>28</v>
      </c>
      <c r="B1" t="s">
        <v>29</v>
      </c>
      <c r="C1" t="s">
        <v>30</v>
      </c>
      <c r="D1" t="s">
        <v>31</v>
      </c>
      <c r="E1" t="s">
        <v>60</v>
      </c>
      <c r="G1" s="3" t="s">
        <v>68</v>
      </c>
    </row>
    <row r="2" spans="1:8" x14ac:dyDescent="0.35">
      <c r="A2" t="s">
        <v>32</v>
      </c>
      <c r="B2" t="s">
        <v>42</v>
      </c>
      <c r="C2" t="s">
        <v>52</v>
      </c>
      <c r="D2" s="6">
        <v>45000</v>
      </c>
      <c r="E2" t="s">
        <v>61</v>
      </c>
      <c r="G2">
        <v>1</v>
      </c>
      <c r="H2" t="s">
        <v>69</v>
      </c>
    </row>
    <row r="3" spans="1:8" x14ac:dyDescent="0.35">
      <c r="A3" t="s">
        <v>33</v>
      </c>
      <c r="B3" t="s">
        <v>43</v>
      </c>
      <c r="C3" t="s">
        <v>53</v>
      </c>
      <c r="D3" s="6">
        <v>50000</v>
      </c>
      <c r="E3" t="s">
        <v>62</v>
      </c>
    </row>
    <row r="4" spans="1:8" x14ac:dyDescent="0.35">
      <c r="A4" t="s">
        <v>34</v>
      </c>
      <c r="B4" t="s">
        <v>44</v>
      </c>
      <c r="C4" t="s">
        <v>54</v>
      </c>
      <c r="D4" s="6">
        <v>65000</v>
      </c>
      <c r="E4" t="s">
        <v>63</v>
      </c>
    </row>
    <row r="5" spans="1:8" x14ac:dyDescent="0.35">
      <c r="A5" t="s">
        <v>35</v>
      </c>
      <c r="B5" t="s">
        <v>45</v>
      </c>
      <c r="C5" t="s">
        <v>52</v>
      </c>
      <c r="D5" s="6">
        <v>45000</v>
      </c>
      <c r="E5" t="s">
        <v>64</v>
      </c>
      <c r="G5">
        <v>2</v>
      </c>
      <c r="H5" t="s">
        <v>70</v>
      </c>
    </row>
    <row r="6" spans="1:8" x14ac:dyDescent="0.35">
      <c r="A6" t="s">
        <v>36</v>
      </c>
      <c r="B6" t="s">
        <v>46</v>
      </c>
      <c r="C6" t="s">
        <v>53</v>
      </c>
      <c r="D6" s="6">
        <v>55000</v>
      </c>
      <c r="E6" t="s">
        <v>64</v>
      </c>
    </row>
    <row r="7" spans="1:8" x14ac:dyDescent="0.35">
      <c r="A7" t="s">
        <v>37</v>
      </c>
      <c r="B7" t="s">
        <v>47</v>
      </c>
      <c r="C7" t="s">
        <v>54</v>
      </c>
      <c r="D7" s="6">
        <v>65000</v>
      </c>
      <c r="E7" t="s">
        <v>65</v>
      </c>
    </row>
    <row r="8" spans="1:8" x14ac:dyDescent="0.35">
      <c r="A8" t="s">
        <v>38</v>
      </c>
      <c r="B8" t="s">
        <v>48</v>
      </c>
      <c r="C8" t="s">
        <v>52</v>
      </c>
      <c r="D8" s="6">
        <v>70000</v>
      </c>
      <c r="E8" t="s">
        <v>61</v>
      </c>
      <c r="G8">
        <v>3</v>
      </c>
      <c r="H8" t="s">
        <v>71</v>
      </c>
    </row>
    <row r="9" spans="1:8" x14ac:dyDescent="0.35">
      <c r="A9" t="s">
        <v>39</v>
      </c>
      <c r="B9" t="s">
        <v>49</v>
      </c>
      <c r="C9" t="s">
        <v>53</v>
      </c>
      <c r="D9" s="6">
        <v>65000</v>
      </c>
      <c r="E9" t="s">
        <v>62</v>
      </c>
    </row>
    <row r="10" spans="1:8" x14ac:dyDescent="0.35">
      <c r="A10" t="s">
        <v>40</v>
      </c>
      <c r="B10" t="s">
        <v>50</v>
      </c>
      <c r="C10" t="s">
        <v>54</v>
      </c>
      <c r="D10" s="6">
        <v>80000</v>
      </c>
      <c r="E10" t="s">
        <v>65</v>
      </c>
    </row>
    <row r="11" spans="1:8" x14ac:dyDescent="0.35">
      <c r="A11" t="s">
        <v>41</v>
      </c>
      <c r="B11" t="s">
        <v>51</v>
      </c>
      <c r="C11" t="s">
        <v>52</v>
      </c>
      <c r="D11" s="6">
        <v>70000</v>
      </c>
      <c r="E11" t="s">
        <v>64</v>
      </c>
      <c r="G11" s="3" t="s">
        <v>72</v>
      </c>
    </row>
    <row r="12" spans="1:8" x14ac:dyDescent="0.35">
      <c r="G12">
        <v>1</v>
      </c>
      <c r="H12" t="s">
        <v>73</v>
      </c>
    </row>
    <row r="14" spans="1:8" x14ac:dyDescent="0.35">
      <c r="G14">
        <v>2</v>
      </c>
      <c r="H14" t="s">
        <v>74</v>
      </c>
    </row>
    <row r="16" spans="1:8" x14ac:dyDescent="0.35">
      <c r="G16">
        <v>3</v>
      </c>
      <c r="H16" t="s">
        <v>75</v>
      </c>
    </row>
    <row r="18" spans="8:9" x14ac:dyDescent="0.35">
      <c r="H18" t="s">
        <v>104</v>
      </c>
      <c r="I18" t="s">
        <v>53</v>
      </c>
    </row>
    <row r="19" spans="8:9" x14ac:dyDescent="0.35">
      <c r="H19" t="s">
        <v>105</v>
      </c>
      <c r="I19" t="s">
        <v>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D28B0-8BB3-4539-9E3F-41295E256F62}">
  <dimension ref="A1:H19"/>
  <sheetViews>
    <sheetView tabSelected="1" workbookViewId="0">
      <selection activeCell="E14" sqref="E14"/>
    </sheetView>
  </sheetViews>
  <sheetFormatPr defaultRowHeight="14.5" x14ac:dyDescent="0.35"/>
  <cols>
    <col min="1" max="1" width="11.54296875" customWidth="1"/>
    <col min="2" max="2" width="13.81640625" customWidth="1"/>
    <col min="3" max="4" width="13.453125" customWidth="1"/>
    <col min="5" max="5" width="21.1796875" customWidth="1"/>
    <col min="15" max="15" width="12.54296875" customWidth="1"/>
  </cols>
  <sheetData>
    <row r="1" spans="1:8" x14ac:dyDescent="0.35">
      <c r="A1" t="s">
        <v>28</v>
      </c>
      <c r="B1" t="s">
        <v>29</v>
      </c>
      <c r="C1" t="s">
        <v>30</v>
      </c>
      <c r="D1" t="s">
        <v>31</v>
      </c>
      <c r="E1" t="s">
        <v>60</v>
      </c>
      <c r="G1" s="3" t="s">
        <v>76</v>
      </c>
    </row>
    <row r="2" spans="1:8" x14ac:dyDescent="0.35">
      <c r="A2" t="s">
        <v>32</v>
      </c>
      <c r="B2" t="s">
        <v>42</v>
      </c>
      <c r="C2" t="s">
        <v>52</v>
      </c>
      <c r="D2" s="6">
        <v>45000</v>
      </c>
      <c r="E2" t="s">
        <v>61</v>
      </c>
      <c r="G2">
        <v>1</v>
      </c>
      <c r="H2" t="s">
        <v>77</v>
      </c>
    </row>
    <row r="3" spans="1:8" x14ac:dyDescent="0.35">
      <c r="A3" t="s">
        <v>33</v>
      </c>
      <c r="B3" t="s">
        <v>43</v>
      </c>
      <c r="C3" t="s">
        <v>53</v>
      </c>
      <c r="D3" s="6">
        <v>50000</v>
      </c>
      <c r="E3" t="s">
        <v>62</v>
      </c>
    </row>
    <row r="4" spans="1:8" x14ac:dyDescent="0.35">
      <c r="A4" t="s">
        <v>34</v>
      </c>
      <c r="B4" t="s">
        <v>44</v>
      </c>
      <c r="C4" t="s">
        <v>54</v>
      </c>
      <c r="D4" s="6">
        <v>65000</v>
      </c>
      <c r="E4" t="s">
        <v>63</v>
      </c>
      <c r="G4">
        <v>2</v>
      </c>
      <c r="H4" t="s">
        <v>78</v>
      </c>
    </row>
    <row r="5" spans="1:8" x14ac:dyDescent="0.35">
      <c r="A5" t="s">
        <v>35</v>
      </c>
      <c r="B5" t="s">
        <v>45</v>
      </c>
      <c r="C5" t="s">
        <v>52</v>
      </c>
      <c r="D5" s="6">
        <v>45000</v>
      </c>
      <c r="E5" t="s">
        <v>64</v>
      </c>
    </row>
    <row r="6" spans="1:8" x14ac:dyDescent="0.35">
      <c r="A6" t="s">
        <v>36</v>
      </c>
      <c r="B6" t="s">
        <v>46</v>
      </c>
      <c r="C6" t="s">
        <v>53</v>
      </c>
      <c r="D6" s="6">
        <v>55000</v>
      </c>
      <c r="E6" t="s">
        <v>64</v>
      </c>
      <c r="G6">
        <v>3</v>
      </c>
      <c r="H6" t="s">
        <v>79</v>
      </c>
    </row>
    <row r="7" spans="1:8" x14ac:dyDescent="0.35">
      <c r="A7" t="s">
        <v>37</v>
      </c>
      <c r="B7" t="s">
        <v>47</v>
      </c>
      <c r="C7" t="s">
        <v>54</v>
      </c>
      <c r="D7" s="6">
        <v>65000</v>
      </c>
      <c r="E7" t="s">
        <v>65</v>
      </c>
    </row>
    <row r="8" spans="1:8" x14ac:dyDescent="0.35">
      <c r="A8" t="s">
        <v>38</v>
      </c>
      <c r="B8" t="s">
        <v>48</v>
      </c>
      <c r="C8" t="s">
        <v>52</v>
      </c>
      <c r="D8" s="6">
        <v>70000</v>
      </c>
      <c r="E8" t="s">
        <v>61</v>
      </c>
    </row>
    <row r="9" spans="1:8" x14ac:dyDescent="0.35">
      <c r="A9" t="s">
        <v>39</v>
      </c>
      <c r="B9" t="s">
        <v>49</v>
      </c>
      <c r="C9" t="s">
        <v>53</v>
      </c>
      <c r="D9" s="6">
        <v>65000</v>
      </c>
      <c r="E9" t="s">
        <v>62</v>
      </c>
      <c r="G9" s="3" t="s">
        <v>80</v>
      </c>
    </row>
    <row r="10" spans="1:8" x14ac:dyDescent="0.35">
      <c r="A10" t="s">
        <v>40</v>
      </c>
      <c r="B10" t="s">
        <v>50</v>
      </c>
      <c r="C10" t="s">
        <v>54</v>
      </c>
      <c r="D10" s="6">
        <v>80000</v>
      </c>
      <c r="E10" t="s">
        <v>65</v>
      </c>
    </row>
    <row r="11" spans="1:8" x14ac:dyDescent="0.35">
      <c r="A11" t="s">
        <v>41</v>
      </c>
      <c r="B11" t="s">
        <v>51</v>
      </c>
      <c r="C11" t="s">
        <v>52</v>
      </c>
      <c r="D11" s="6">
        <v>70000</v>
      </c>
      <c r="E11" t="s">
        <v>64</v>
      </c>
      <c r="G11">
        <v>1</v>
      </c>
      <c r="H11" t="s">
        <v>77</v>
      </c>
    </row>
    <row r="12" spans="1:8" x14ac:dyDescent="0.35">
      <c r="G12">
        <v>2</v>
      </c>
      <c r="H12" t="s">
        <v>78</v>
      </c>
    </row>
    <row r="13" spans="1:8" x14ac:dyDescent="0.35">
      <c r="G13">
        <v>3</v>
      </c>
      <c r="H13" t="s">
        <v>79</v>
      </c>
    </row>
    <row r="15" spans="1:8" x14ac:dyDescent="0.35">
      <c r="G15" t="s">
        <v>81</v>
      </c>
    </row>
    <row r="17" spans="7:8" x14ac:dyDescent="0.35">
      <c r="G17">
        <v>1</v>
      </c>
      <c r="H17" t="s">
        <v>77</v>
      </c>
    </row>
    <row r="18" spans="7:8" x14ac:dyDescent="0.35">
      <c r="G18">
        <v>2</v>
      </c>
      <c r="H18" t="s">
        <v>78</v>
      </c>
    </row>
    <row r="19" spans="7:8" x14ac:dyDescent="0.35">
      <c r="G19">
        <v>3</v>
      </c>
      <c r="H19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Decision Tree</vt:lpstr>
      <vt:lpstr>Kicathon Problem</vt:lpstr>
      <vt:lpstr>If functions</vt:lpstr>
      <vt:lpstr>SUM if</vt:lpstr>
      <vt:lpstr>COUNTif</vt:lpstr>
      <vt:lpstr>LookUps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Trupti Mohan</dc:creator>
  <cp:lastModifiedBy>Mukesh Chaudhari</cp:lastModifiedBy>
  <dcterms:created xsi:type="dcterms:W3CDTF">2026-03-09T11:26:39Z</dcterms:created>
  <dcterms:modified xsi:type="dcterms:W3CDTF">2026-05-07T01:26:22Z</dcterms:modified>
</cp:coreProperties>
</file>