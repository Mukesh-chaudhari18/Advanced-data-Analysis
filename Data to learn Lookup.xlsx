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8_{271C7367-B856-4155-97A1-252527CE6A06}" xr6:coauthVersionLast="47" xr6:coauthVersionMax="47" xr10:uidLastSave="{00000000-0000-0000-0000-000000000000}"/>
  <bookViews>
    <workbookView xWindow="-110" yWindow="-110" windowWidth="19420" windowHeight="10420" xr2:uid="{B458A35D-FE5A-4D24-989A-C9AAF29B9388}"/>
  </bookViews>
  <sheets>
    <sheet name="Sales" sheetId="1" r:id="rId1"/>
    <sheet name="Sheet1" sheetId="3" r:id="rId2"/>
    <sheet name="products" sheetId="2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12" i="1"/>
  <c r="G18" i="1"/>
  <c r="G17" i="1"/>
  <c r="G16" i="1"/>
  <c r="P2" i="1" a="1"/>
  <c r="P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N2" i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L4" i="4" a="1"/>
  <c r="L4" i="4" s="1"/>
  <c r="L5" i="4" a="1"/>
  <c r="L5" i="4" s="1"/>
  <c r="L6" i="4" a="1"/>
  <c r="L6" i="4" s="1"/>
  <c r="L7" i="4" a="1"/>
  <c r="L7" i="4" s="1"/>
  <c r="L8" i="4" a="1"/>
  <c r="L8" i="4" s="1"/>
  <c r="L9" i="4" a="1"/>
  <c r="L9" i="4" s="1"/>
  <c r="L10" i="4" a="1"/>
  <c r="L10" i="4" s="1"/>
  <c r="L11" i="4" a="1"/>
  <c r="L11" i="4"/>
  <c r="L12" i="4" a="1"/>
  <c r="L12" i="4" s="1"/>
  <c r="L13" i="4" a="1"/>
  <c r="L13" i="4" s="1"/>
  <c r="L14" i="4" a="1"/>
  <c r="L14" i="4" s="1"/>
  <c r="L15" i="4" a="1"/>
  <c r="L15" i="4" s="1"/>
  <c r="L3" i="4" a="1"/>
  <c r="L3" i="4" s="1"/>
  <c r="I4" i="4"/>
  <c r="I5" i="4"/>
  <c r="I6" i="4"/>
  <c r="I7" i="4"/>
  <c r="I8" i="4"/>
  <c r="I9" i="4"/>
  <c r="I10" i="4"/>
  <c r="I11" i="4"/>
  <c r="I12" i="4"/>
  <c r="I3" i="4"/>
  <c r="T14" i="4"/>
  <c r="T15" i="4"/>
  <c r="T16" i="4"/>
  <c r="T13" i="4"/>
  <c r="M2" i="1"/>
  <c r="M3" i="1"/>
  <c r="M4" i="1"/>
  <c r="M5" i="1"/>
  <c r="M6" i="1"/>
  <c r="M7" i="1"/>
  <c r="M8" i="1"/>
  <c r="M9" i="1"/>
  <c r="S14" i="4"/>
  <c r="S15" i="4"/>
  <c r="S16" i="4"/>
  <c r="S13" i="4"/>
  <c r="R14" i="4"/>
  <c r="R15" i="4"/>
  <c r="R16" i="4"/>
  <c r="R13" i="4"/>
  <c r="Q16" i="4"/>
  <c r="Q15" i="4"/>
  <c r="Q14" i="4"/>
  <c r="Q13" i="4"/>
  <c r="D4" i="4"/>
  <c r="D5" i="4"/>
  <c r="D6" i="4"/>
  <c r="D7" i="4"/>
  <c r="D8" i="4"/>
  <c r="D9" i="4"/>
  <c r="D10" i="4"/>
  <c r="D11" i="4"/>
  <c r="D12" i="4"/>
  <c r="D3" i="4"/>
  <c r="L5" i="1"/>
  <c r="L2" i="1"/>
  <c r="L3" i="1"/>
  <c r="L4" i="1"/>
  <c r="L6" i="1"/>
  <c r="L7" i="1"/>
  <c r="L8" i="1"/>
  <c r="L9" i="1"/>
  <c r="K9" i="3"/>
  <c r="K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<sst xmlns="http://schemas.openxmlformats.org/spreadsheetml/2006/main" count="170" uniqueCount="106">
  <si>
    <t>Order_ID</t>
  </si>
  <si>
    <t>Customer_Name</t>
  </si>
  <si>
    <t>City</t>
  </si>
  <si>
    <t>Product_ID</t>
  </si>
  <si>
    <t>Product_Name</t>
  </si>
  <si>
    <t>Category</t>
  </si>
  <si>
    <t>Quantity</t>
  </si>
  <si>
    <t>Price</t>
  </si>
  <si>
    <t>Total_Amount</t>
  </si>
  <si>
    <t>Payment_Mode</t>
  </si>
  <si>
    <t>Order_Status</t>
  </si>
  <si>
    <t>Amit</t>
  </si>
  <si>
    <t>Mumbai</t>
  </si>
  <si>
    <t>P101</t>
  </si>
  <si>
    <t>Laptop</t>
  </si>
  <si>
    <t>Electronics</t>
  </si>
  <si>
    <t>Card</t>
  </si>
  <si>
    <t>Delivered</t>
  </si>
  <si>
    <t>Neha</t>
  </si>
  <si>
    <t>Pune</t>
  </si>
  <si>
    <t>P102</t>
  </si>
  <si>
    <t>Mobile</t>
  </si>
  <si>
    <t>UPI</t>
  </si>
  <si>
    <t>Pending</t>
  </si>
  <si>
    <t>Rahul</t>
  </si>
  <si>
    <t>Delhi</t>
  </si>
  <si>
    <t>P103</t>
  </si>
  <si>
    <t>Shoes</t>
  </si>
  <si>
    <t>Fashion</t>
  </si>
  <si>
    <t>COD</t>
  </si>
  <si>
    <t>Sneha</t>
  </si>
  <si>
    <t>P104</t>
  </si>
  <si>
    <t>Watch</t>
  </si>
  <si>
    <t>Accessories</t>
  </si>
  <si>
    <t>Cancelled</t>
  </si>
  <si>
    <t>Karan</t>
  </si>
  <si>
    <t>P105</t>
  </si>
  <si>
    <t>T-Shirt</t>
  </si>
  <si>
    <t>Pooja</t>
  </si>
  <si>
    <t>Vikram</t>
  </si>
  <si>
    <t>Anjali</t>
  </si>
  <si>
    <t>Standard_Price</t>
  </si>
  <si>
    <t xml:space="preserve">Questions : </t>
  </si>
  <si>
    <r>
      <t xml:space="preserve">Find the </t>
    </r>
    <r>
      <rPr>
        <b/>
        <sz val="11"/>
        <color theme="1"/>
        <rFont val="Calibri"/>
        <family val="2"/>
        <scheme val="minor"/>
      </rPr>
      <t>Product Name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Product ID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</si>
  <si>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of each product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</si>
  <si>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Standard Price</t>
    </r>
    <r>
      <rPr>
        <sz val="11"/>
        <color theme="1"/>
        <rFont val="Calibri"/>
        <family val="2"/>
        <scheme val="minor"/>
      </rPr>
      <t xml:space="preserve"> of each product from lookup table</t>
    </r>
  </si>
  <si>
    <t>If Product_ID = "P103", what is the product name?</t>
  </si>
  <si>
    <t>Which category does "P105" belong to?</t>
  </si>
  <si>
    <r>
      <t xml:space="preserve">Add a column to fetch </t>
    </r>
    <r>
      <rPr>
        <b/>
        <sz val="11"/>
        <color theme="1"/>
        <rFont val="Calibri"/>
        <family val="2"/>
        <scheme val="minor"/>
      </rPr>
      <t>Standard Price</t>
    </r>
    <r>
      <rPr>
        <sz val="11"/>
        <color theme="1"/>
        <rFont val="Calibri"/>
        <family val="2"/>
        <scheme val="minor"/>
      </rPr>
      <t xml:space="preserve"> from lookup table</t>
    </r>
  </si>
  <si>
    <r>
      <t xml:space="preserve">Compare </t>
    </r>
    <r>
      <rPr>
        <b/>
        <sz val="11"/>
        <color theme="1"/>
        <rFont val="Calibri"/>
        <family val="2"/>
        <scheme val="minor"/>
      </rPr>
      <t>Actual Price vs Standard Price</t>
    </r>
  </si>
  <si>
    <t>Name</t>
  </si>
  <si>
    <t xml:space="preserve">Syntax </t>
  </si>
  <si>
    <t xml:space="preserve">1. Lookup </t>
  </si>
  <si>
    <t>lookup(lookup_value , lookup_vector , [Result_vector])</t>
  </si>
  <si>
    <t>2. V-lookup</t>
  </si>
  <si>
    <t>vlookup( lookup_value , Table_array , col_index_number , [Range_lookup])</t>
  </si>
  <si>
    <t>3. H-lookup</t>
  </si>
  <si>
    <t>hlookup( lookup_value , Table_array , Row_index_number , [Range_lookup])</t>
  </si>
  <si>
    <t>4. X-lookup</t>
  </si>
  <si>
    <t>Emp_id</t>
  </si>
  <si>
    <t>Salary</t>
  </si>
  <si>
    <t>Age</t>
  </si>
  <si>
    <t>location</t>
  </si>
  <si>
    <t>Sakshi</t>
  </si>
  <si>
    <t>Ritik</t>
  </si>
  <si>
    <t>Manas</t>
  </si>
  <si>
    <t>Rose</t>
  </si>
  <si>
    <t>Maria</t>
  </si>
  <si>
    <t>Noida</t>
  </si>
  <si>
    <t>XLOOKUP(lookup_value , lookup_array , return_array , [if_not_found] , [match_mode] , [search_mode])</t>
  </si>
  <si>
    <t>product_names</t>
  </si>
  <si>
    <t>P106</t>
  </si>
  <si>
    <t>Speed</t>
  </si>
  <si>
    <t>Flag</t>
  </si>
  <si>
    <t>1. if</t>
  </si>
  <si>
    <t>if(logic_test , value_if_true , value_if_false)</t>
  </si>
  <si>
    <t>2. ifs</t>
  </si>
  <si>
    <t>ifs(logic_test1 , value_if_true1 , logic_test2 , value_if_true2 , logic_test3 , value_if_true3 , ….................)</t>
  </si>
  <si>
    <t>A</t>
  </si>
  <si>
    <t>B</t>
  </si>
  <si>
    <t>A and B</t>
  </si>
  <si>
    <t>A or B</t>
  </si>
  <si>
    <t>Not A</t>
  </si>
  <si>
    <t>Not B</t>
  </si>
  <si>
    <t>Column1</t>
  </si>
  <si>
    <t>Voting eligibility</t>
  </si>
  <si>
    <t>Nationality</t>
  </si>
  <si>
    <t>Y</t>
  </si>
  <si>
    <t>N</t>
  </si>
  <si>
    <t>Marks</t>
  </si>
  <si>
    <t>Remark</t>
  </si>
  <si>
    <t>orders cateogry</t>
  </si>
  <si>
    <t xml:space="preserve">Conditional </t>
  </si>
  <si>
    <t>Sumif</t>
  </si>
  <si>
    <t>sumif(range , criteria , [ sum_range])</t>
  </si>
  <si>
    <t>Payment_mode</t>
  </si>
  <si>
    <t>Amount</t>
  </si>
  <si>
    <t xml:space="preserve">One condition </t>
  </si>
  <si>
    <t>Sumifs</t>
  </si>
  <si>
    <t>Multiple conditions</t>
  </si>
  <si>
    <t>sumifs( sum_of_value , cretiria_range1 , criteria1 , creteria_range2 , criteria2 , ….............)</t>
  </si>
  <si>
    <t>countif</t>
  </si>
  <si>
    <t xml:space="preserve">countifs </t>
  </si>
  <si>
    <t>countif(range, criteria)</t>
  </si>
  <si>
    <t>Number of Observations for certain crietia</t>
  </si>
  <si>
    <t>countifs( range1, criteria1, range2 , creitia2 , ….....)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</si>
</sst>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FB0FF-5878-48F6-ACCE-FDC5CA3B7298}" name="Table1" displayName="Table1" ref="A1:N9" totalsRowShown="0" headerRowDxfId="21" dataDxfId="20">
  <autoFilter ref="A1:N9" xr:uid="{C3CFB0FF-5878-48F6-ACCE-FDC5CA3B7298}"/>
  <tableColumns count="14">
    <tableColumn id="1" xr3:uid="{F1D12655-05F0-4790-8F75-80A9D87C7187}" name="Order_ID" dataDxfId="19"/>
    <tableColumn id="2" xr3:uid="{EFF7E960-CB2D-426E-AEE5-6EDAEEF3FD28}" name="Customer_Name" dataDxfId="18"/>
    <tableColumn id="3" xr3:uid="{79FA486E-BA82-4913-BCE7-F6EE22BB6A3B}" name="City" dataDxfId="17"/>
    <tableColumn id="4" xr3:uid="{F6AB74CE-F9FB-4E09-968A-510E21334581}" name="Product_ID" dataDxfId="16"/>
    <tableColumn id="5" xr3:uid="{E2AE74AF-D1F1-4F7F-9829-A2BBD1C496D8}" name="Product_Name" dataDxfId="15"/>
    <tableColumn id="6" xr3:uid="{7066B73D-45C2-476F-BD9E-270EBD0CB1C1}" name="Category" dataDxfId="14"/>
    <tableColumn id="7" xr3:uid="{A7A4DEE5-BC6C-4705-950E-090DD5F0C425}" name="Quantity" dataDxfId="13"/>
    <tableColumn id="8" xr3:uid="{D91DD328-CB85-47A1-AF2B-77F31B55DF30}" name="Price" dataDxfId="12"/>
    <tableColumn id="9" xr3:uid="{99BD8EBD-4739-4727-BD0D-7D0767EB1D0E}" name="Total_Amount" dataDxfId="11"/>
    <tableColumn id="10" xr3:uid="{6B881ECD-471C-4D2D-BA69-98C7D0F6A1A5}" name="Payment_Mode" dataDxfId="10"/>
    <tableColumn id="11" xr3:uid="{039C0167-425F-4AD6-8FC5-CAE26612DE90}" name="Order_Status" dataDxfId="9"/>
    <tableColumn id="12" xr3:uid="{2E322447-67C8-4C89-B026-7ED19373D603}" name="product_names" dataDxfId="8">
      <calculatedColumnFormula>_xlfn.XLOOKUP(Table1[[#This Row],[Product_ID]],Table2[Product_ID],Table2[Product_Name],"Product does not exist",0)</calculatedColumnFormula>
    </tableColumn>
    <tableColumn id="13" xr3:uid="{D65D32E8-F811-42A5-A11C-704B84801F2D}" name="Column1" dataDxfId="7">
      <calculatedColumnFormula>IF(OR(Table1[[#This Row],[Total_Amount]]&gt;=20000,Table1[[#This Row],[Order_Status]]="Delivered"),"Profitable_order", "incomplete order")</calculatedColumnFormula>
    </tableColumn>
    <tableColumn id="14" xr3:uid="{29537D5D-15A3-46D9-9369-18E6F7D3F363}" name="orders cateogry" dataDxfId="6">
      <calculatedColumnFormula array="1">_xlfn.IFS(Table1[[#This Row],[Total_Amount]]&gt;=30000, "High Sales", Table1[[#This Row],[Total_Amount]]&gt;= 20000, "Medium Sales", Table1[[#This Row],[Total_Amount]]&lt; 20000, "Low Sales")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62B466-CAF2-4166-B820-DCA58FFD5F86}" name="Table2" displayName="Table2" ref="A1:D6" totalsRowShown="0" headerRowDxfId="5" dataDxfId="4">
  <autoFilter ref="A1:D6" xr:uid="{EF62B466-CAF2-4166-B820-DCA58FFD5F86}"/>
  <tableColumns count="4">
    <tableColumn id="1" xr3:uid="{74C82995-D036-4C24-B77D-87BB1E52B58A}" name="Product_ID" dataDxfId="3"/>
    <tableColumn id="2" xr3:uid="{DA109589-9970-41C7-B559-2D6E39DE27DD}" name="Product_Name" dataDxfId="2"/>
    <tableColumn id="3" xr3:uid="{8530B0B4-9B52-408F-A93B-B0FEC982918B}" name="Category" dataDxfId="1"/>
    <tableColumn id="4" xr3:uid="{78AAFA23-039C-46BE-ABC5-AC001D4841F9}" name="Standard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4982-0780-42AB-8BA1-41550DBB81A1}">
  <dimension ref="A1:P26"/>
  <sheetViews>
    <sheetView tabSelected="1" topLeftCell="C1" zoomScaleNormal="100" workbookViewId="0">
      <selection activeCell="J5" sqref="J5"/>
    </sheetView>
  </sheetViews>
  <sheetFormatPr defaultRowHeight="14.5" x14ac:dyDescent="0.35"/>
  <cols>
    <col min="1" max="1" width="13.08984375" bestFit="1" customWidth="1"/>
    <col min="2" max="2" width="19.36328125" customWidth="1"/>
    <col min="4" max="4" width="12.26953125" customWidth="1"/>
    <col min="5" max="5" width="8.36328125" customWidth="1"/>
    <col min="6" max="6" width="14" bestFit="1" customWidth="1"/>
    <col min="7" max="7" width="10.1796875" customWidth="1"/>
    <col min="9" max="9" width="17.54296875" bestFit="1" customWidth="1"/>
    <col min="10" max="10" width="16.1796875" customWidth="1"/>
    <col min="11" max="11" width="14" customWidth="1"/>
    <col min="12" max="12" width="19.453125" bestFit="1" customWidth="1"/>
    <col min="13" max="13" width="15.26953125" bestFit="1" customWidth="1"/>
    <col min="14" max="14" width="16.6328125" customWidth="1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70</v>
      </c>
      <c r="M1" s="1" t="s">
        <v>84</v>
      </c>
      <c r="N1" s="1" t="s">
        <v>91</v>
      </c>
    </row>
    <row r="2" spans="1:16" x14ac:dyDescent="0.35">
      <c r="A2" s="2">
        <v>1001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</v>
      </c>
      <c r="H2" s="2">
        <v>50000</v>
      </c>
      <c r="I2" s="2">
        <v>50000</v>
      </c>
      <c r="J2" s="2" t="s">
        <v>16</v>
      </c>
      <c r="K2" s="2" t="s">
        <v>17</v>
      </c>
      <c r="L2" s="2" t="str">
        <f>_xlfn.XLOOKUP(Table1[[#This Row],[Product_ID]],Table2[Product_ID],Table2[Product_Name],"Product does not exist",0)</f>
        <v>Laptop</v>
      </c>
      <c r="M2" s="2" t="str">
        <f>IF(OR(Table1[[#This Row],[Total_Amount]]&gt;=20000,Table1[[#This Row],[Order_Status]]="Delivered"),"Profitable_order", "incomplete order")</f>
        <v>Profitable_order</v>
      </c>
      <c r="N2" s="2" t="str" cm="1">
        <f t="array" ref="N2">_xlfn.IFS(Table1[[#This Row],[Total_Amount]]&gt;=30000, "High Sales", Table1[[#This Row],[Total_Amount]]&gt;= 20000, "Medium Sales", Table1[[#This Row],[Total_Amount]]&lt; 20000, "Low Sales")</f>
        <v>High Sales</v>
      </c>
      <c r="P2" t="str" cm="1">
        <f t="array" ref="P2">_xlfn.IFS(Table1[[#This Row],[Total_Amount]]&gt;= 30000, "High Sales", Table1[[#This Row],[Total_Amount]]&gt;= 20000, "Medium Sales",Table1[[#This Row],[Total_Amount]]&lt; 20000, "Low Sales", Table1[[#This Row],[Total_Amount]]&lt;0, "Negative Sales")</f>
        <v>High Sales</v>
      </c>
    </row>
    <row r="3" spans="1:16" x14ac:dyDescent="0.35">
      <c r="A3" s="2">
        <v>1002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15</v>
      </c>
      <c r="G3" s="2">
        <v>2</v>
      </c>
      <c r="H3" s="2">
        <v>20000</v>
      </c>
      <c r="I3" s="2">
        <v>40000</v>
      </c>
      <c r="J3" s="2" t="s">
        <v>22</v>
      </c>
      <c r="K3" s="2" t="s">
        <v>23</v>
      </c>
      <c r="L3" s="2" t="str">
        <f>_xlfn.XLOOKUP(Table1[[#This Row],[Product_ID]],Table2[Product_ID],Table2[Product_Name],"Product does not exist",0)</f>
        <v>Mobile</v>
      </c>
      <c r="M3" s="2" t="str">
        <f>IF(OR(Table1[[#This Row],[Total_Amount]]&gt;=20000,Table1[[#This Row],[Order_Status]]="Delivered"),"Profitable_order", "incomplete order")</f>
        <v>Profitable_order</v>
      </c>
      <c r="N3" s="2" t="str" cm="1">
        <f t="array" ref="N3">_xlfn.IFS(Table1[[#This Row],[Total_Amount]]&gt;=30000, "High Sales", Table1[[#This Row],[Total_Amount]]&gt;= 20000, "Medium Sales", Table1[[#This Row],[Total_Amount]]&lt; 20000, "Low Sales")</f>
        <v>High Sales</v>
      </c>
      <c r="P3" t="str" cm="1">
        <f t="array" ref="P3">_xlfn.IFS(Table1[[#This Row],[Total_Amount]]&gt;= 30000, "High Sales", Table1[[#This Row],[Total_Amount]]&gt;= 20000, "Medium Sales",Table1[[#This Row],[Total_Amount]]&lt; 20000, "Low Sales", Table1[[#This Row],[Total_Amount]]&lt; 0, "Negative Sales")</f>
        <v>High Sales</v>
      </c>
    </row>
    <row r="4" spans="1:16" x14ac:dyDescent="0.35">
      <c r="A4" s="2">
        <v>1003</v>
      </c>
      <c r="B4" s="2" t="s">
        <v>24</v>
      </c>
      <c r="C4" s="2" t="s">
        <v>19</v>
      </c>
      <c r="D4" s="2" t="s">
        <v>26</v>
      </c>
      <c r="E4" s="2" t="s">
        <v>27</v>
      </c>
      <c r="F4" s="2" t="s">
        <v>28</v>
      </c>
      <c r="G4" s="2">
        <v>3</v>
      </c>
      <c r="H4" s="2">
        <v>2000</v>
      </c>
      <c r="I4" s="2">
        <v>6000</v>
      </c>
      <c r="J4" s="2" t="s">
        <v>29</v>
      </c>
      <c r="K4" s="2" t="s">
        <v>17</v>
      </c>
      <c r="L4" s="2" t="str">
        <f>_xlfn.XLOOKUP(Table1[[#This Row],[Product_ID]],Table2[Product_ID],Table2[Product_Name],"Product does not exist",0)</f>
        <v>Shoes</v>
      </c>
      <c r="M4" s="2" t="str">
        <f>IF(OR(Table1[[#This Row],[Total_Amount]]&gt;=20000,Table1[[#This Row],[Order_Status]]="Delivered"),"Profitable_order", "incomplete order")</f>
        <v>Profitable_order</v>
      </c>
      <c r="N4" s="2" t="str" cm="1">
        <f t="array" ref="N4">_xlfn.IFS(Table1[[#This Row],[Total_Amount]]&gt;=30000, "High Sales", Table1[[#This Row],[Total_Amount]]&gt;= 20000, "Medium Sales", Table1[[#This Row],[Total_Amount]]&lt; 20000, "Low Sales")</f>
        <v>Low Sales</v>
      </c>
      <c r="P4" t="str" cm="1">
        <f t="array" ref="P4">_xlfn.IFS(Table1[[#This Row],[Total_Amount]]&gt;= 30000, "High Sales", Table1[[#This Row],[Total_Amount]]&gt;= 20000, "Medium Sales",Table1[[#This Row],[Total_Amount]]&lt; 20000, "Low Sales", Table1[[#This Row],[Total_Amount]]&lt; 0, "Negative Sales")</f>
        <v>Low Sales</v>
      </c>
    </row>
    <row r="5" spans="1:16" ht="17.5" customHeight="1" x14ac:dyDescent="0.35">
      <c r="A5" s="2">
        <v>1004</v>
      </c>
      <c r="B5" s="2" t="s">
        <v>30</v>
      </c>
      <c r="C5" s="2" t="s">
        <v>12</v>
      </c>
      <c r="D5" s="2" t="s">
        <v>71</v>
      </c>
      <c r="E5" s="2" t="s">
        <v>32</v>
      </c>
      <c r="F5" s="2" t="s">
        <v>33</v>
      </c>
      <c r="G5" s="2">
        <v>2</v>
      </c>
      <c r="H5" s="2">
        <v>3000</v>
      </c>
      <c r="I5" s="2">
        <v>6000</v>
      </c>
      <c r="J5" s="2" t="s">
        <v>16</v>
      </c>
      <c r="K5" s="2" t="s">
        <v>34</v>
      </c>
      <c r="L5" s="2" t="str">
        <f>_xlfn.XLOOKUP(Table1[[#This Row],[Product_ID]],Table2[Product_ID],Table2[Product_Name],"Product does not exist",0)</f>
        <v>Product does not exist</v>
      </c>
      <c r="M5" s="2" t="str">
        <f>IF(OR(Table1[[#This Row],[Total_Amount]]&gt;=20000,Table1[[#This Row],[Order_Status]]="Delivered"),"Profitable_order", "incomplete order")</f>
        <v>incomplete order</v>
      </c>
      <c r="N5" s="2" t="str" cm="1">
        <f t="array" ref="N5">_xlfn.IFS(Table1[[#This Row],[Total_Amount]]&gt;=30000, "High Sales", Table1[[#This Row],[Total_Amount]]&gt;= 20000, "Medium Sales", Table1[[#This Row],[Total_Amount]]&lt; 20000, "Low Sales")</f>
        <v>Low Sales</v>
      </c>
      <c r="P5" t="str" cm="1">
        <f t="array" ref="P5">_xlfn.IFS(Table1[[#This Row],[Total_Amount]]&gt;= 30000, "High Sales", Table1[[#This Row],[Total_Amount]]&gt;= 20000, "Medium Sales",Table1[[#This Row],[Total_Amount]]&lt; 20000, "Low Sales", Table1[[#This Row],[Total_Amount]]&lt; 0, "Negative Sales")</f>
        <v>Low Sales</v>
      </c>
    </row>
    <row r="6" spans="1:16" x14ac:dyDescent="0.35">
      <c r="A6" s="2">
        <v>1005</v>
      </c>
      <c r="B6" s="2" t="s">
        <v>35</v>
      </c>
      <c r="C6" s="2" t="s">
        <v>19</v>
      </c>
      <c r="D6" s="2" t="s">
        <v>36</v>
      </c>
      <c r="E6" s="2" t="s">
        <v>37</v>
      </c>
      <c r="F6" s="2" t="s">
        <v>28</v>
      </c>
      <c r="G6" s="2">
        <v>5</v>
      </c>
      <c r="H6" s="2">
        <v>500</v>
      </c>
      <c r="I6" s="2">
        <v>500</v>
      </c>
      <c r="J6" s="2" t="s">
        <v>22</v>
      </c>
      <c r="K6" s="2" t="s">
        <v>17</v>
      </c>
      <c r="L6" s="2" t="str">
        <f>_xlfn.XLOOKUP(Table1[[#This Row],[Product_ID]],Table2[Product_ID],Table2[Product_Name],"Product does not exist",0)</f>
        <v>T-Shirt</v>
      </c>
      <c r="M6" s="2" t="str">
        <f>IF(OR(Table1[[#This Row],[Total_Amount]]&gt;=20000,Table1[[#This Row],[Order_Status]]="Delivered"),"Profitable_order", "incomplete order")</f>
        <v>Profitable_order</v>
      </c>
      <c r="N6" s="2" t="str" cm="1">
        <f t="array" ref="N6">_xlfn.IFS(Table1[[#This Row],[Total_Amount]]&gt;=30000, "High Sales", Table1[[#This Row],[Total_Amount]]&gt;= 20000, "Medium Sales", Table1[[#This Row],[Total_Amount]]&lt; 20000, "Low Sales")</f>
        <v>Low Sales</v>
      </c>
      <c r="P6" t="str" cm="1">
        <f t="array" ref="P6">_xlfn.IFS(Table1[[#This Row],[Total_Amount]]&gt;= 30000, "High Sales", Table1[[#This Row],[Total_Amount]]&gt;= 20000, "Medium Sales",Table1[[#This Row],[Total_Amount]]&lt; 20000, "Low Sales", Table1[[#This Row],[Total_Amount]]&lt; 0, "Negative Sales")</f>
        <v>Low Sales</v>
      </c>
    </row>
    <row r="7" spans="1:16" x14ac:dyDescent="0.35">
      <c r="A7" s="2">
        <v>1006</v>
      </c>
      <c r="B7" s="2" t="s">
        <v>38</v>
      </c>
      <c r="C7" s="2" t="s">
        <v>25</v>
      </c>
      <c r="D7" s="2" t="s">
        <v>13</v>
      </c>
      <c r="E7" s="2" t="s">
        <v>14</v>
      </c>
      <c r="F7" s="2" t="s">
        <v>15</v>
      </c>
      <c r="G7" s="2">
        <v>1</v>
      </c>
      <c r="H7" s="2">
        <v>52000</v>
      </c>
      <c r="I7" s="2">
        <v>52000</v>
      </c>
      <c r="J7" s="2" t="s">
        <v>16</v>
      </c>
      <c r="K7" s="2" t="s">
        <v>17</v>
      </c>
      <c r="L7" s="2" t="str">
        <f>_xlfn.XLOOKUP(Table1[[#This Row],[Product_ID]],Table2[Product_ID],Table2[Product_Name],"Product does not exist",0)</f>
        <v>Laptop</v>
      </c>
      <c r="M7" s="2" t="str">
        <f>IF(OR(Table1[[#This Row],[Total_Amount]]&gt;=20000,Table1[[#This Row],[Order_Status]]="Delivered"),"Profitable_order", "incomplete order")</f>
        <v>Profitable_order</v>
      </c>
      <c r="N7" s="2" t="str" cm="1">
        <f t="array" ref="N7">_xlfn.IFS(Table1[[#This Row],[Total_Amount]]&gt;=30000, "High Sales", Table1[[#This Row],[Total_Amount]]&gt;= 20000, "Medium Sales", Table1[[#This Row],[Total_Amount]]&lt; 20000, "Low Sales")</f>
        <v>High Sales</v>
      </c>
      <c r="P7" t="str" cm="1">
        <f t="array" ref="P7">_xlfn.IFS(Table1[[#This Row],[Total_Amount]]&gt;= 30000, "High Sales", Table1[[#This Row],[Total_Amount]]&gt;= 20000, "Medium Sales",Table1[[#This Row],[Total_Amount]]&lt; 20000, "Low Sales", Table1[[#This Row],[Total_Amount]]&lt; 0, "Negative Sales")</f>
        <v>High Sales</v>
      </c>
    </row>
    <row r="8" spans="1:16" x14ac:dyDescent="0.35">
      <c r="A8" s="2">
        <v>1007</v>
      </c>
      <c r="B8" s="2" t="s">
        <v>39</v>
      </c>
      <c r="C8" s="2" t="s">
        <v>12</v>
      </c>
      <c r="D8" s="2" t="s">
        <v>20</v>
      </c>
      <c r="E8" s="2" t="s">
        <v>14</v>
      </c>
      <c r="F8" s="2" t="s">
        <v>15</v>
      </c>
      <c r="G8" s="2">
        <v>1</v>
      </c>
      <c r="H8" s="2">
        <v>21000</v>
      </c>
      <c r="I8" s="2">
        <v>21000</v>
      </c>
      <c r="J8" s="2" t="s">
        <v>16</v>
      </c>
      <c r="K8" s="2" t="s">
        <v>17</v>
      </c>
      <c r="L8" s="2" t="str">
        <f>_xlfn.XLOOKUP(Table1[[#This Row],[Product_ID]],Table2[Product_ID],Table2[Product_Name],"Product does not exist",0)</f>
        <v>Mobile</v>
      </c>
      <c r="M8" s="2" t="str">
        <f>IF(OR(Table1[[#This Row],[Total_Amount]]&gt;=20000,Table1[[#This Row],[Order_Status]]="Delivered"),"Profitable_order", "incomplete order")</f>
        <v>Profitable_order</v>
      </c>
      <c r="N8" s="2" t="str" cm="1">
        <f t="array" ref="N8">_xlfn.IFS(Table1[[#This Row],[Total_Amount]]&gt;=30000, "High Sales", Table1[[#This Row],[Total_Amount]]&gt;= 20000, "Medium Sales", Table1[[#This Row],[Total_Amount]]&lt; 20000, "Low Sales")</f>
        <v>Medium Sales</v>
      </c>
      <c r="P8" t="str" cm="1">
        <f t="array" ref="P8">_xlfn.IFS(Table1[[#This Row],[Total_Amount]]&gt;= 30000, "High Sales", Table1[[#This Row],[Total_Amount]]&gt;= 20000, "Medium Sales",Table1[[#This Row],[Total_Amount]]&lt; 20000, "Low Sales", Table1[[#This Row],[Total_Amount]]&lt; 0, "Negative Sales")</f>
        <v>Medium Sales</v>
      </c>
    </row>
    <row r="9" spans="1:16" x14ac:dyDescent="0.35">
      <c r="A9" s="2">
        <v>1008</v>
      </c>
      <c r="B9" s="2" t="s">
        <v>40</v>
      </c>
      <c r="C9" s="2" t="s">
        <v>19</v>
      </c>
      <c r="D9" s="2" t="s">
        <v>26</v>
      </c>
      <c r="E9" s="2" t="s">
        <v>27</v>
      </c>
      <c r="F9" s="2" t="s">
        <v>28</v>
      </c>
      <c r="G9" s="2">
        <v>2</v>
      </c>
      <c r="H9" s="2">
        <v>1800</v>
      </c>
      <c r="I9" s="2">
        <v>1800</v>
      </c>
      <c r="J9" s="2" t="s">
        <v>22</v>
      </c>
      <c r="K9" s="2" t="s">
        <v>17</v>
      </c>
      <c r="L9" s="2" t="str">
        <f>_xlfn.XLOOKUP(Table1[[#This Row],[Product_ID]],Table2[Product_ID],Table2[Product_Name],"Product does not exist",0)</f>
        <v>Shoes</v>
      </c>
      <c r="M9" s="2" t="str">
        <f>IF(OR(Table1[[#This Row],[Total_Amount]]&gt;=20000,Table1[[#This Row],[Order_Status]]="Delivered"),"Profitable_order", "incomplete order")</f>
        <v>Profitable_order</v>
      </c>
      <c r="N9" s="2" t="str" cm="1">
        <f t="array" ref="N9">_xlfn.IFS(Table1[[#This Row],[Total_Amount]]&gt;=30000, "High Sales", Table1[[#This Row],[Total_Amount]]&gt;= 20000, "Medium Sales", Table1[[#This Row],[Total_Amount]]&lt; 20000, "Low Sales")</f>
        <v>Low Sales</v>
      </c>
      <c r="P9" t="str" cm="1">
        <f t="array" ref="P9">_xlfn.IFS(Table1[[#This Row],[Total_Amount]]&gt;= 30000, "High Sales", Table1[[#This Row],[Total_Amount]]&gt;= 20000, "Medium Sales",Table1[[#This Row],[Total_Amount]]&lt; 20000, "Low Sales", Table1[[#This Row],[Total_Amount]]&lt;= 0, "Negative Sales")</f>
        <v>Low Sales</v>
      </c>
    </row>
    <row r="11" spans="1:16" x14ac:dyDescent="0.35">
      <c r="E11" t="s">
        <v>14</v>
      </c>
      <c r="F11" t="s">
        <v>16</v>
      </c>
      <c r="G11" t="s">
        <v>17</v>
      </c>
    </row>
    <row r="12" spans="1:16" x14ac:dyDescent="0.35">
      <c r="A12" t="s">
        <v>42</v>
      </c>
      <c r="F12">
        <f>SUMIFS(Table1[Total_Amount],Table1[Product_Name],"Laptop",Table1[Payment_Mode],"Card",Table1[Order_Status],"Delivered")</f>
        <v>123000</v>
      </c>
      <c r="I12" t="s">
        <v>51</v>
      </c>
    </row>
    <row r="13" spans="1:16" x14ac:dyDescent="0.35">
      <c r="A13">
        <v>1</v>
      </c>
      <c r="B13" t="s">
        <v>43</v>
      </c>
      <c r="J13" t="s">
        <v>52</v>
      </c>
      <c r="K13" t="s">
        <v>53</v>
      </c>
    </row>
    <row r="14" spans="1:16" x14ac:dyDescent="0.35">
      <c r="A14">
        <v>2</v>
      </c>
      <c r="B14" t="s">
        <v>44</v>
      </c>
      <c r="J14" t="s">
        <v>54</v>
      </c>
      <c r="K14" t="s">
        <v>55</v>
      </c>
    </row>
    <row r="15" spans="1:16" x14ac:dyDescent="0.35">
      <c r="A15">
        <v>3</v>
      </c>
      <c r="B15" t="s">
        <v>45</v>
      </c>
      <c r="F15" t="s">
        <v>95</v>
      </c>
      <c r="G15" t="s">
        <v>96</v>
      </c>
      <c r="J15" t="s">
        <v>56</v>
      </c>
      <c r="K15" t="s">
        <v>57</v>
      </c>
    </row>
    <row r="16" spans="1:16" x14ac:dyDescent="0.35">
      <c r="A16">
        <v>4</v>
      </c>
      <c r="B16" t="s">
        <v>46</v>
      </c>
      <c r="F16" t="s">
        <v>16</v>
      </c>
      <c r="G16">
        <f>SUMIF(Table1[Payment_Mode],"Card", Table1[Total_Amount])</f>
        <v>129000</v>
      </c>
      <c r="J16" t="s">
        <v>58</v>
      </c>
      <c r="K16" t="s">
        <v>69</v>
      </c>
    </row>
    <row r="17" spans="1:11" x14ac:dyDescent="0.35">
      <c r="A17">
        <v>5</v>
      </c>
      <c r="B17" t="s">
        <v>47</v>
      </c>
      <c r="F17" t="s">
        <v>22</v>
      </c>
      <c r="G17">
        <f>SUMIF(Table1[Payment_Mode],"UPI",Table1[Total_Amount])</f>
        <v>42300</v>
      </c>
    </row>
    <row r="18" spans="1:11" x14ac:dyDescent="0.35">
      <c r="A18">
        <v>6</v>
      </c>
      <c r="B18" t="s">
        <v>48</v>
      </c>
      <c r="F18" t="s">
        <v>29</v>
      </c>
      <c r="G18">
        <f>SUMIF(Table1[Payment_Mode],"COD", Table1[Total_Amount])</f>
        <v>6000</v>
      </c>
      <c r="I18" t="s">
        <v>92</v>
      </c>
    </row>
    <row r="19" spans="1:11" x14ac:dyDescent="0.35">
      <c r="A19">
        <v>7</v>
      </c>
      <c r="B19" t="s">
        <v>49</v>
      </c>
      <c r="J19" t="s">
        <v>74</v>
      </c>
      <c r="K19" t="s">
        <v>75</v>
      </c>
    </row>
    <row r="20" spans="1:11" x14ac:dyDescent="0.35">
      <c r="J20" t="s">
        <v>76</v>
      </c>
      <c r="K20" t="s">
        <v>77</v>
      </c>
    </row>
    <row r="22" spans="1:11" x14ac:dyDescent="0.35">
      <c r="I22" t="s">
        <v>97</v>
      </c>
      <c r="J22" t="s">
        <v>93</v>
      </c>
      <c r="K22" t="s">
        <v>94</v>
      </c>
    </row>
    <row r="23" spans="1:11" x14ac:dyDescent="0.35">
      <c r="I23" t="s">
        <v>99</v>
      </c>
      <c r="J23" t="s">
        <v>98</v>
      </c>
      <c r="K23" t="s">
        <v>100</v>
      </c>
    </row>
    <row r="25" spans="1:11" x14ac:dyDescent="0.35">
      <c r="F25">
        <f>COUNTIF(Table1[City], "Pune")</f>
        <v>4</v>
      </c>
      <c r="I25" t="s">
        <v>104</v>
      </c>
      <c r="J25" t="s">
        <v>101</v>
      </c>
      <c r="K25" t="s">
        <v>103</v>
      </c>
    </row>
    <row r="26" spans="1:11" x14ac:dyDescent="0.35">
      <c r="J26" t="s">
        <v>102</v>
      </c>
      <c r="K26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EFD8-D48C-42BB-8383-FE36E1ED3D68}">
  <dimension ref="B3:K9"/>
  <sheetViews>
    <sheetView workbookViewId="0">
      <selection activeCell="J10" sqref="J10"/>
    </sheetView>
  </sheetViews>
  <sheetFormatPr defaultRowHeight="14.5" x14ac:dyDescent="0.35"/>
  <sheetData>
    <row r="3" spans="2:11" x14ac:dyDescent="0.35">
      <c r="B3" s="4" t="s">
        <v>59</v>
      </c>
      <c r="C3" s="4">
        <v>101</v>
      </c>
      <c r="D3" s="4">
        <v>102</v>
      </c>
      <c r="E3" s="4">
        <v>103</v>
      </c>
      <c r="F3" s="4">
        <v>104</v>
      </c>
      <c r="G3" s="4">
        <v>105</v>
      </c>
      <c r="K3" t="s">
        <v>50</v>
      </c>
    </row>
    <row r="4" spans="2:11" x14ac:dyDescent="0.35">
      <c r="B4" s="4" t="s">
        <v>50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J4">
        <v>105</v>
      </c>
      <c r="K4" t="str">
        <f>HLOOKUP(J4,B3:G7,2,FALSE)</f>
        <v>Maria</v>
      </c>
    </row>
    <row r="5" spans="2:11" x14ac:dyDescent="0.35">
      <c r="B5" s="4" t="s">
        <v>60</v>
      </c>
      <c r="C5" s="4">
        <v>34000</v>
      </c>
      <c r="D5" s="4">
        <v>55000</v>
      </c>
      <c r="E5" s="4">
        <v>56000</v>
      </c>
      <c r="F5" s="4">
        <v>30000</v>
      </c>
      <c r="G5" s="4">
        <v>40000</v>
      </c>
    </row>
    <row r="6" spans="2:11" x14ac:dyDescent="0.35">
      <c r="B6" s="4" t="s">
        <v>61</v>
      </c>
      <c r="C6" s="4">
        <v>45</v>
      </c>
      <c r="D6" s="4">
        <v>22</v>
      </c>
      <c r="E6" s="4">
        <v>34</v>
      </c>
      <c r="F6" s="4">
        <v>27</v>
      </c>
      <c r="G6" s="4">
        <v>26</v>
      </c>
    </row>
    <row r="7" spans="2:11" x14ac:dyDescent="0.35">
      <c r="B7" s="4" t="s">
        <v>62</v>
      </c>
      <c r="C7" s="4" t="s">
        <v>19</v>
      </c>
      <c r="D7" s="4" t="s">
        <v>12</v>
      </c>
      <c r="E7" s="4" t="s">
        <v>25</v>
      </c>
      <c r="F7" s="4" t="s">
        <v>68</v>
      </c>
      <c r="G7" s="4" t="s">
        <v>19</v>
      </c>
    </row>
    <row r="8" spans="2:11" x14ac:dyDescent="0.35">
      <c r="K8" t="s">
        <v>62</v>
      </c>
    </row>
    <row r="9" spans="2:11" x14ac:dyDescent="0.35">
      <c r="J9">
        <v>106</v>
      </c>
      <c r="K9" t="str">
        <f>_xlfn.XLOOKUP(J9,C3:G3,C7:G7,"Employee does not exist",0)</f>
        <v>Employee does not exist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E5C7-3A28-4EA9-8829-0C30CB11E1F0}">
  <dimension ref="A1:D6"/>
  <sheetViews>
    <sheetView workbookViewId="0">
      <selection activeCell="B2" sqref="B2:B5"/>
    </sheetView>
  </sheetViews>
  <sheetFormatPr defaultRowHeight="14.5" x14ac:dyDescent="0.35"/>
  <cols>
    <col min="1" max="1" width="12.26953125" customWidth="1"/>
    <col min="2" max="2" width="15.36328125" customWidth="1"/>
    <col min="3" max="3" width="10.26953125" customWidth="1"/>
    <col min="4" max="4" width="15.54296875" customWidth="1"/>
  </cols>
  <sheetData>
    <row r="1" spans="1:4" ht="29" x14ac:dyDescent="0.35">
      <c r="A1" s="1" t="s">
        <v>3</v>
      </c>
      <c r="B1" s="1" t="s">
        <v>4</v>
      </c>
      <c r="C1" s="1" t="s">
        <v>5</v>
      </c>
      <c r="D1" s="1" t="s">
        <v>41</v>
      </c>
    </row>
    <row r="2" spans="1:4" ht="29" x14ac:dyDescent="0.35">
      <c r="A2" s="2" t="s">
        <v>13</v>
      </c>
      <c r="B2" s="2" t="s">
        <v>14</v>
      </c>
      <c r="C2" s="2" t="s">
        <v>15</v>
      </c>
      <c r="D2" s="2">
        <v>50000</v>
      </c>
    </row>
    <row r="3" spans="1:4" ht="29" x14ac:dyDescent="0.35">
      <c r="A3" s="2" t="s">
        <v>20</v>
      </c>
      <c r="B3" s="2" t="s">
        <v>21</v>
      </c>
      <c r="C3" s="2" t="s">
        <v>15</v>
      </c>
      <c r="D3" s="2">
        <v>20000</v>
      </c>
    </row>
    <row r="4" spans="1:4" x14ac:dyDescent="0.35">
      <c r="A4" s="2" t="s">
        <v>26</v>
      </c>
      <c r="B4" s="2" t="s">
        <v>27</v>
      </c>
      <c r="C4" s="2" t="s">
        <v>28</v>
      </c>
      <c r="D4" s="2">
        <v>2000</v>
      </c>
    </row>
    <row r="5" spans="1:4" ht="29" x14ac:dyDescent="0.35">
      <c r="A5" s="2" t="s">
        <v>31</v>
      </c>
      <c r="B5" s="2" t="s">
        <v>32</v>
      </c>
      <c r="C5" s="2" t="s">
        <v>33</v>
      </c>
      <c r="D5" s="2">
        <v>3000</v>
      </c>
    </row>
    <row r="6" spans="1:4" x14ac:dyDescent="0.35">
      <c r="A6" s="2" t="s">
        <v>36</v>
      </c>
      <c r="B6" s="2" t="s">
        <v>37</v>
      </c>
      <c r="C6" s="2" t="s">
        <v>28</v>
      </c>
      <c r="D6" s="2">
        <v>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E7B3-9E14-4DC1-9BC3-A228F86DDA41}">
  <dimension ref="C2:T16"/>
  <sheetViews>
    <sheetView topLeftCell="H1" workbookViewId="0">
      <selection activeCell="N7" sqref="N7:X8"/>
    </sheetView>
  </sheetViews>
  <sheetFormatPr defaultRowHeight="14.5" x14ac:dyDescent="0.35"/>
  <cols>
    <col min="8" max="8" width="9.81640625" style="3" bestFit="1" customWidth="1"/>
    <col min="9" max="9" width="13.90625" bestFit="1" customWidth="1"/>
    <col min="11" max="11" width="6" bestFit="1" customWidth="1"/>
    <col min="12" max="12" width="7.1796875" bestFit="1" customWidth="1"/>
  </cols>
  <sheetData>
    <row r="2" spans="3:20" x14ac:dyDescent="0.35">
      <c r="C2" t="s">
        <v>72</v>
      </c>
      <c r="D2" t="s">
        <v>73</v>
      </c>
      <c r="F2" t="s">
        <v>61</v>
      </c>
      <c r="H2" s="3" t="s">
        <v>86</v>
      </c>
      <c r="I2" t="s">
        <v>85</v>
      </c>
      <c r="K2" t="s">
        <v>89</v>
      </c>
      <c r="L2" t="s">
        <v>90</v>
      </c>
    </row>
    <row r="3" spans="3:20" x14ac:dyDescent="0.35">
      <c r="C3">
        <v>23</v>
      </c>
      <c r="D3" t="str">
        <f t="shared" ref="D3:D12" si="0">IF(C3&gt;=80, "Fast", "Slow")</f>
        <v>Slow</v>
      </c>
      <c r="F3">
        <v>12</v>
      </c>
      <c r="H3" s="3" t="s">
        <v>87</v>
      </c>
      <c r="I3" t="str">
        <f t="shared" ref="I3:I12" si="1">IF(AND(F3&gt;=18, H3="Y"), "Eligible", "Not eligible")</f>
        <v>Not eligible</v>
      </c>
      <c r="K3">
        <v>34</v>
      </c>
      <c r="L3" t="str" cm="1">
        <f t="array" ref="L3">_xlfn.IFS(K3&gt;=95, "A+",K3&gt;=85, "A",K3&gt;=75, "B", K3&gt;=55, "C", K3&gt;=36, "D", K3&lt;35, "Fail")</f>
        <v>Fail</v>
      </c>
    </row>
    <row r="4" spans="3:20" x14ac:dyDescent="0.35">
      <c r="C4">
        <v>80</v>
      </c>
      <c r="D4" t="str">
        <f t="shared" si="0"/>
        <v>Fast</v>
      </c>
      <c r="F4">
        <v>19</v>
      </c>
      <c r="H4" s="3" t="s">
        <v>87</v>
      </c>
      <c r="I4" t="str">
        <f t="shared" si="1"/>
        <v>Eligible</v>
      </c>
      <c r="K4">
        <v>56</v>
      </c>
      <c r="L4" t="str" cm="1">
        <f t="array" ref="L4">_xlfn.IFS(K4&gt;=95, "A+",K4&gt;=85, "A",K4&gt;=75, "B", K4&gt;=55, "C", K4&gt;=36, "D", K4&lt;35, "Fail")</f>
        <v>C</v>
      </c>
    </row>
    <row r="5" spans="3:20" x14ac:dyDescent="0.35">
      <c r="C5">
        <v>60</v>
      </c>
      <c r="D5" t="str">
        <f t="shared" si="0"/>
        <v>Slow</v>
      </c>
      <c r="F5">
        <v>23</v>
      </c>
      <c r="H5" s="3" t="s">
        <v>88</v>
      </c>
      <c r="I5" t="str">
        <f t="shared" si="1"/>
        <v>Not eligible</v>
      </c>
      <c r="K5">
        <v>87</v>
      </c>
      <c r="L5" t="str" cm="1">
        <f t="array" ref="L5">_xlfn.IFS(K5&gt;=95, "A+",K5&gt;=85, "A",K5&gt;=75, "B", K5&gt;=55, "C", K5&gt;=36, "D", K5&lt;35, "Fail")</f>
        <v>A</v>
      </c>
    </row>
    <row r="6" spans="3:20" x14ac:dyDescent="0.35">
      <c r="C6">
        <v>34</v>
      </c>
      <c r="D6" t="str">
        <f t="shared" si="0"/>
        <v>Slow</v>
      </c>
      <c r="F6">
        <v>14</v>
      </c>
      <c r="H6" s="3" t="s">
        <v>87</v>
      </c>
      <c r="I6" t="str">
        <f t="shared" si="1"/>
        <v>Not eligible</v>
      </c>
      <c r="K6">
        <v>23</v>
      </c>
      <c r="L6" t="str" cm="1">
        <f t="array" ref="L6">_xlfn.IFS(K6&gt;=95, "A+",K6&gt;=85, "A",K6&gt;=75, "B", K6&gt;=55, "C", K6&gt;=36, "D", K6&lt;35, "Fail")</f>
        <v>Fail</v>
      </c>
    </row>
    <row r="7" spans="3:20" x14ac:dyDescent="0.35">
      <c r="C7">
        <v>56</v>
      </c>
      <c r="D7" t="str">
        <f t="shared" si="0"/>
        <v>Slow</v>
      </c>
      <c r="F7">
        <v>56</v>
      </c>
      <c r="H7" s="3" t="s">
        <v>88</v>
      </c>
      <c r="I7" t="str">
        <f t="shared" si="1"/>
        <v>Not eligible</v>
      </c>
      <c r="K7">
        <v>90</v>
      </c>
      <c r="L7" t="str" cm="1">
        <f t="array" ref="L7">_xlfn.IFS(K7&gt;=95, "A+",K7&gt;=85, "A",K7&gt;=75, "B", K7&gt;=55, "C", K7&gt;=36, "D", K7&lt;35, "Fail")</f>
        <v>A</v>
      </c>
    </row>
    <row r="8" spans="3:20" x14ac:dyDescent="0.35">
      <c r="C8">
        <v>80</v>
      </c>
      <c r="D8" t="str">
        <f t="shared" si="0"/>
        <v>Fast</v>
      </c>
      <c r="F8">
        <v>35</v>
      </c>
      <c r="H8" s="3" t="s">
        <v>87</v>
      </c>
      <c r="I8" t="str">
        <f t="shared" si="1"/>
        <v>Eligible</v>
      </c>
      <c r="K8">
        <v>95</v>
      </c>
      <c r="L8" t="str" cm="1">
        <f t="array" ref="L8">_xlfn.IFS(K8&gt;=95, "A+",K8&gt;=85, "A",K8&gt;=75, "B", K8&gt;=55, "C", K8&gt;=36, "D", K8&lt;35, "Fail")</f>
        <v>A+</v>
      </c>
    </row>
    <row r="9" spans="3:20" x14ac:dyDescent="0.35">
      <c r="C9">
        <v>120</v>
      </c>
      <c r="D9" t="str">
        <f t="shared" si="0"/>
        <v>Fast</v>
      </c>
      <c r="F9">
        <v>64</v>
      </c>
      <c r="H9" s="3" t="s">
        <v>87</v>
      </c>
      <c r="I9" t="str">
        <f t="shared" si="1"/>
        <v>Eligible</v>
      </c>
      <c r="K9">
        <v>98</v>
      </c>
      <c r="L9" t="str" cm="1">
        <f t="array" ref="L9">_xlfn.IFS(K9&gt;=95, "A+",K9&gt;=85, "A",K9&gt;=75, "B", K9&gt;=55, "C", K9&gt;=36, "D", K9&lt;35, "Fail")</f>
        <v>A+</v>
      </c>
    </row>
    <row r="10" spans="3:20" x14ac:dyDescent="0.35">
      <c r="C10">
        <v>150</v>
      </c>
      <c r="D10" t="str">
        <f t="shared" si="0"/>
        <v>Fast</v>
      </c>
      <c r="F10">
        <v>11</v>
      </c>
      <c r="H10" s="3" t="s">
        <v>87</v>
      </c>
      <c r="I10" t="str">
        <f t="shared" si="1"/>
        <v>Not eligible</v>
      </c>
      <c r="K10">
        <v>56</v>
      </c>
      <c r="L10" t="str" cm="1">
        <f t="array" ref="L10">_xlfn.IFS(K10&gt;=95, "A+",K10&gt;=85, "A",K10&gt;=75, "B", K10&gt;=55, "C", K10&gt;=36, "D", K10&lt;35, "Fail")</f>
        <v>C</v>
      </c>
    </row>
    <row r="11" spans="3:20" x14ac:dyDescent="0.35">
      <c r="C11">
        <v>70</v>
      </c>
      <c r="D11" t="str">
        <f t="shared" si="0"/>
        <v>Slow</v>
      </c>
      <c r="F11">
        <v>18</v>
      </c>
      <c r="H11" s="3" t="s">
        <v>87</v>
      </c>
      <c r="I11" t="str">
        <f t="shared" si="1"/>
        <v>Eligible</v>
      </c>
      <c r="K11">
        <v>45</v>
      </c>
      <c r="L11" t="str" cm="1">
        <f t="array" ref="L11">_xlfn.IFS(K11&gt;=95, "A+",K11&gt;=85, "A",K11&gt;=75, "B", K11&gt;=55, "C", K11&gt;=36, "D", K11&lt;35, "Fail")</f>
        <v>D</v>
      </c>
    </row>
    <row r="12" spans="3:20" x14ac:dyDescent="0.35">
      <c r="C12">
        <v>300</v>
      </c>
      <c r="D12" t="str">
        <f t="shared" si="0"/>
        <v>Fast</v>
      </c>
      <c r="F12">
        <v>10</v>
      </c>
      <c r="H12" s="3" t="s">
        <v>88</v>
      </c>
      <c r="I12" t="str">
        <f t="shared" si="1"/>
        <v>Not eligible</v>
      </c>
      <c r="K12">
        <v>37</v>
      </c>
      <c r="L12" t="str" cm="1">
        <f t="array" ref="L12">_xlfn.IFS(K12&gt;=95, "A+",K12&gt;=85, "A",K12&gt;=75, "B", K12&gt;=55, "C", K12&gt;=36, "D", K12&lt;35, "Fail")</f>
        <v>D</v>
      </c>
      <c r="O12" s="3" t="s">
        <v>78</v>
      </c>
      <c r="P12" s="3" t="s">
        <v>79</v>
      </c>
      <c r="Q12" t="s">
        <v>80</v>
      </c>
      <c r="R12" t="s">
        <v>81</v>
      </c>
      <c r="S12" t="s">
        <v>82</v>
      </c>
      <c r="T12" t="s">
        <v>83</v>
      </c>
    </row>
    <row r="13" spans="3:20" x14ac:dyDescent="0.35">
      <c r="K13">
        <v>56</v>
      </c>
      <c r="L13" t="str" cm="1">
        <f t="array" ref="L13">_xlfn.IFS(K13&gt;=95, "A+",K13&gt;=85, "A",K13&gt;=75, "B", K13&gt;=55, "C", K13&gt;=36, "D", K13&lt;35, "Fail")</f>
        <v>C</v>
      </c>
      <c r="O13" t="b">
        <v>1</v>
      </c>
      <c r="P13" t="b">
        <v>1</v>
      </c>
      <c r="Q13" t="b">
        <f>AND(O13,P13)</f>
        <v>1</v>
      </c>
      <c r="R13" t="b">
        <f>OR(O13,P13)</f>
        <v>1</v>
      </c>
      <c r="S13" t="b">
        <f>NOT(O13)</f>
        <v>0</v>
      </c>
      <c r="T13" t="b">
        <f>NOT(P13)</f>
        <v>0</v>
      </c>
    </row>
    <row r="14" spans="3:20" x14ac:dyDescent="0.35">
      <c r="K14">
        <v>68</v>
      </c>
      <c r="L14" t="str" cm="1">
        <f t="array" ref="L14">_xlfn.IFS(K14&gt;=95, "A+",K14&gt;=85, "A",K14&gt;=75, "B", K14&gt;=55, "C", K14&gt;=36, "D", K14&lt;35, "Fail")</f>
        <v>C</v>
      </c>
      <c r="O14" t="b">
        <v>1</v>
      </c>
      <c r="P14" t="b">
        <v>0</v>
      </c>
      <c r="Q14" t="b">
        <f>AND(O14,P14)</f>
        <v>0</v>
      </c>
      <c r="R14" t="b">
        <f t="shared" ref="R14:R16" si="2">OR(O14,P14)</f>
        <v>1</v>
      </c>
      <c r="S14" t="b">
        <f t="shared" ref="S14:S16" si="3">NOT(O14)</f>
        <v>0</v>
      </c>
      <c r="T14" t="b">
        <f t="shared" ref="T14:T16" si="4">NOT(P14)</f>
        <v>1</v>
      </c>
    </row>
    <row r="15" spans="3:20" x14ac:dyDescent="0.35">
      <c r="K15">
        <v>78</v>
      </c>
      <c r="L15" t="str" cm="1">
        <f t="array" ref="L15">_xlfn.IFS(K15&gt;=95, "A+",K15&gt;=85, "A",K15&gt;=75, "B", K15&gt;=55, "C", K15&gt;=36, "D", K15&lt;35, "Fail")</f>
        <v>B</v>
      </c>
      <c r="O15" t="b">
        <v>0</v>
      </c>
      <c r="P15" t="b">
        <v>1</v>
      </c>
      <c r="Q15" t="b">
        <f>AND(O15,P15)</f>
        <v>0</v>
      </c>
      <c r="R15" t="b">
        <f t="shared" si="2"/>
        <v>1</v>
      </c>
      <c r="S15" t="b">
        <f t="shared" si="3"/>
        <v>1</v>
      </c>
      <c r="T15" t="b">
        <f t="shared" si="4"/>
        <v>0</v>
      </c>
    </row>
    <row r="16" spans="3:20" x14ac:dyDescent="0.35">
      <c r="O16" t="b">
        <v>0</v>
      </c>
      <c r="P16" t="b">
        <v>0</v>
      </c>
      <c r="Q16" t="b">
        <f>AND(O16,P16)</f>
        <v>0</v>
      </c>
      <c r="R16" t="b">
        <f t="shared" si="2"/>
        <v>0</v>
      </c>
      <c r="S16" t="b">
        <f t="shared" si="3"/>
        <v>1</v>
      </c>
      <c r="T16" t="b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Sheet1</vt:lpstr>
      <vt:lpstr>products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Chaudhari</dc:creator>
  <cp:lastModifiedBy>Mukesh Chaudhari</cp:lastModifiedBy>
  <dcterms:created xsi:type="dcterms:W3CDTF">2026-05-05T23:54:33Z</dcterms:created>
  <dcterms:modified xsi:type="dcterms:W3CDTF">2026-05-07T01:28:58Z</dcterms:modified>
</cp:coreProperties>
</file>